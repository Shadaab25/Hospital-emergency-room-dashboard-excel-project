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9.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Mohammed Shadaab\OneDrive\Desktop\Data Analyst\Excel\Projects\Project 2\"/>
    </mc:Choice>
  </mc:AlternateContent>
  <xr:revisionPtr revIDLastSave="0" documentId="13_ncr:1_{5B617366-F620-47B7-ADE0-9CA913989063}" xr6:coauthVersionLast="47" xr6:coauthVersionMax="47" xr10:uidLastSave="{00000000-0000-0000-0000-000000000000}"/>
  <bookViews>
    <workbookView xWindow="-110" yWindow="-110" windowWidth="19420" windowHeight="10300" xr2:uid="{B8FEBDE4-02D1-40D5-B3AB-3C59A40AA768}"/>
  </bookViews>
  <sheets>
    <sheet name="Dashboard" sheetId="2" r:id="rId1"/>
    <sheet name="Pivot report" sheetId="1" r:id="rId2"/>
    <sheet name="Satisfaction Score" sheetId="8" r:id="rId3"/>
    <sheet name="Avg WaitTime" sheetId="3" r:id="rId4"/>
    <sheet name="Sheet3" sheetId="6" r:id="rId5"/>
  </sheets>
  <definedNames>
    <definedName name="Slicer_Date__Month">#N/A</definedName>
    <definedName name="Slicer_Year">#N/A</definedName>
  </definedNames>
  <calcPr calcId="191029"/>
  <pivotCaches>
    <pivotCache cacheId="745" r:id="rId6"/>
    <pivotCache cacheId="748" r:id="rId7"/>
    <pivotCache cacheId="751" r:id="rId8"/>
    <pivotCache cacheId="754" r:id="rId9"/>
    <pivotCache cacheId="757" r:id="rId10"/>
    <pivotCache cacheId="760" r:id="rId11"/>
    <pivotCache cacheId="763" r:id="rId12"/>
    <pivotCache cacheId="766" r:id="rId13"/>
    <pivotCache cacheId="769" r:id="rId14"/>
    <pivotCache cacheId="772" r:id="rId15"/>
    <pivotCache cacheId="775" r:id="rId16"/>
    <pivotCache cacheId="778" r:id="rId17"/>
  </pivotCaches>
  <extLst>
    <ext xmlns:x14="http://schemas.microsoft.com/office/spreadsheetml/2009/9/main" uri="{876F7934-8845-4945-9796-88D515C7AA90}">
      <x14:pivotCaches>
        <pivotCache cacheId="159"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baef391-f112-45f1-92e3-9daa16f974d9" name="Hospital Emergency Room Data" connection="Query - Hospital Emergency Room Data"/>
          <x15:modelTable id="Calender_Table_a6b7204a-b519-4202-96d0-a282a0162dab"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Lst>
</workbook>
</file>

<file path=xl/calcChain.xml><?xml version="1.0" encoding="utf-8"?>
<calcChain xmlns="http://schemas.openxmlformats.org/spreadsheetml/2006/main">
  <c r="C50" i="1" l="1"/>
  <c r="B50" i="1"/>
  <c r="A50" i="1"/>
  <c r="C49" i="1"/>
  <c r="B49" i="1"/>
  <c r="A4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280568-CB83-4D92-B4E2-60CD51DB9C0F}" name="Query - Calender_Table" description="Connection to the 'Calender_Table' query in the workbook." type="100" refreshedVersion="8" minRefreshableVersion="5">
    <extLst>
      <ext xmlns:x15="http://schemas.microsoft.com/office/spreadsheetml/2010/11/main" uri="{DE250136-89BD-433C-8126-D09CA5730AF9}">
        <x15:connection id="ada22cfb-fbe1-42e9-a201-e29206546c1d"/>
      </ext>
    </extLst>
  </connection>
  <connection id="2" xr16:uid="{1A8129F5-6BAC-49D7-AB51-D1A7D5549D7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7bbae5c6-824f-4812-80c0-f11c542c3105">
          <x15:oledbPr connection="Provider=Microsoft.Mashup.OleDb.1;Data Source=$Workbook$;Location=&quot;Hospital Emergency Room Data&quot;;Extended Properties=&quot;&quot;">
            <x15:dbTables>
              <x15:dbTable name="Hospital Emergency Room Data"/>
            </x15:dbTables>
          </x15:oledbPr>
        </x15:connection>
      </ext>
    </extLst>
  </connection>
  <connection id="3" xr16:uid="{0637B79C-EBE6-450B-87FA-F53CFCDC164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<sst xmlns="http://schemas.openxmlformats.org/spreadsheetml/2006/main" count="174" uniqueCount="69">
  <si>
    <t>Distinct Count of Patient Id</t>
  </si>
  <si>
    <t>Average of Patient Waittime</t>
  </si>
  <si>
    <t>Average of Patient Satisfaction Score</t>
  </si>
  <si>
    <t>Row Labels</t>
  </si>
  <si>
    <t>Grand Total</t>
  </si>
  <si>
    <t>Jan</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</si>
  <si>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</si>
  <si>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</si>
  <si>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</si>
  <si>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</si>
  <si>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</si>
  <si>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</si>
  <si>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</si>
  <si>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</si>
  <si>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</si>
  <si>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</si>
  <si>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</si>
  <si>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</si>
  <si>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</si>
  <si>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</si>
  <si>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</si>
  <si>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</si>
  <si>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</si>
  <si>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</si>
  <si>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</si>
  <si>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</si>
  <si>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</si>
  <si>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</si>
  <si>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</si>
  <si>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</si>
  <si>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</si>
  <si>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</si>
  <si>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</si>
  <si>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</si>
  <si>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</si>
  <si>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</si>
  <si>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</si>
  <si>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Admitted</t>
  </si>
  <si>
    <t>20-29</t>
  </si>
  <si>
    <t>0-09</t>
  </si>
  <si>
    <t>40-49</t>
  </si>
  <si>
    <t>30-39</t>
  </si>
  <si>
    <t>10-19</t>
  </si>
  <si>
    <t>60-69</t>
  </si>
  <si>
    <t>50-59</t>
  </si>
  <si>
    <t>70-79</t>
  </si>
  <si>
    <t>Not Admitted</t>
  </si>
  <si>
    <t>Count of Patient Admission Flag</t>
  </si>
  <si>
    <t>Count of Patient Admission Flag2</t>
  </si>
  <si>
    <t>Admission Status</t>
  </si>
  <si>
    <t>No of Patients</t>
  </si>
  <si>
    <t>%Status</t>
  </si>
  <si>
    <t>Count of Age Group</t>
  </si>
  <si>
    <t>Male</t>
  </si>
  <si>
    <t>None</t>
  </si>
  <si>
    <t>Delayed</t>
  </si>
  <si>
    <t>Ontime</t>
  </si>
  <si>
    <t>Female</t>
  </si>
  <si>
    <t>General Practice</t>
  </si>
  <si>
    <t>Orthopedics</t>
  </si>
  <si>
    <t>Renal</t>
  </si>
  <si>
    <t>Physiotherapy</t>
  </si>
  <si>
    <t>Gastroenterology</t>
  </si>
  <si>
    <t>Cardiology</t>
  </si>
  <si>
    <t>Count of Calculated Column 2</t>
  </si>
  <si>
    <t>Count of Calculated Column 2_2</t>
  </si>
  <si>
    <t>Neurology</t>
  </si>
  <si>
    <t>Count of Patient Gender</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</si>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</sst>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1" tint="0.34998626667073579"/>
        <bgColor indexed="64"/>
      </patternFill>
    </fill>
    <fill>
      <patternFill patternType="solid">
        <fgColor theme="6"/>
        <bgColor indexed="64"/>
      </patternFill>
    </fill>
    <fill>
      <patternFill patternType="solid">
        <fgColor theme="4" tint="0.79998168889431442"/>
        <bgColor theme="4" tint="0.79998168889431442"/>
      </patternFill>
    </fill>
    <fill>
      <patternFill patternType="solid">
        <fgColor theme="3"/>
        <bgColor indexed="64"/>
      </patternFill>
    </fill>
    <fill>
      <patternFill patternType="solid">
        <fgColor theme="1"/>
        <bgColor indexed="64"/>
      </patternFill>
    </fill>
    <fill>
      <patternFill patternType="solid">
        <fgColor theme="8"/>
        <bgColor indexed="64"/>
      </patternFill>
    </fill>
    <fill>
      <patternFill patternType="solid">
        <fgColor theme="2"/>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0" borderId="0" xfId="0" applyAlignment="1">
      <alignment horizontal="left" indent="1"/>
    </xf>
    <xf numFmtId="0" fontId="0" fillId="3" borderId="0" xfId="0" applyFill="1"/>
    <xf numFmtId="0" fontId="2" fillId="4" borderId="1" xfId="0" applyFont="1" applyFill="1" applyBorder="1"/>
    <xf numFmtId="0" fontId="0" fillId="5" borderId="0" xfId="0" applyFill="1"/>
    <xf numFmtId="0" fontId="0" fillId="6" borderId="0" xfId="0" applyFill="1"/>
    <xf numFmtId="1" fontId="0" fillId="0" borderId="0" xfId="0" applyNumberFormat="1"/>
    <xf numFmtId="10" fontId="0" fillId="0" borderId="0" xfId="0" applyNumberFormat="1"/>
    <xf numFmtId="0" fontId="0" fillId="7" borderId="0" xfId="0" applyFill="1"/>
    <xf numFmtId="0" fontId="0" fillId="8" borderId="0" xfId="0" applyFill="1"/>
    <xf numFmtId="9" fontId="0" fillId="8" borderId="0" xfId="1" applyFont="1" applyFill="1"/>
    <xf numFmtId="14" fontId="0" fillId="0" borderId="0" xfId="0" applyNumberFormat="1" applyAlignment="1">
      <alignment horizontal="left"/>
    </xf>
    <xf numFmtId="0" fontId="0" fillId="0" borderId="0" xfId="0" applyAlignment="1">
      <alignment horizontal="left" indent="2"/>
    </xf>
    <xf numFmtId="0" fontId="0" fillId="0" borderId="0" xfId="0" applyNumberFormat="1"/>
  </cellXfs>
  <cellStyles count="2">
    <cellStyle name="Normal" xfId="0" builtinId="0"/>
    <cellStyle name="Per cent" xfId="1" builtinId="5"/>
  </cellStyles>
  <dxfs count="144">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fill>
        <patternFill patternType="gray125"/>
      </fill>
    </dxf>
    <dxf>
      <fill>
        <patternFill patternType="solid">
          <fgColor auto="1"/>
          <bgColor rgb="FF278489"/>
        </patternFill>
      </fill>
    </dxf>
    <dxf>
      <fill>
        <patternFill patternType="none">
          <fgColor indexed="64"/>
          <bgColor auto="1"/>
        </patternFill>
      </fill>
      <border diagonalUp="1" diagonalDown="0">
        <left/>
        <right style="thin">
          <color rgb="FFC00000"/>
        </right>
        <top/>
        <bottom/>
        <diagonal style="thin">
          <color rgb="FFC00000"/>
        </diagonal>
        <vertical/>
        <horizontal/>
      </border>
    </dxf>
    <dxf>
      <border diagonalUp="0" diagonalDown="0">
        <left/>
        <right/>
        <top/>
        <bottom/>
        <vertical/>
        <horizontal/>
      </border>
    </dxf>
    <dxf>
      <font>
        <b val="0"/>
        <i val="0"/>
        <sz val="8"/>
        <color theme="1"/>
      </font>
      <fill>
        <patternFill patternType="none">
          <bgColor auto="1"/>
        </patternFill>
      </fill>
      <border>
        <left style="thin">
          <color theme="2"/>
        </left>
        <right style="thin">
          <color theme="2"/>
        </right>
        <top style="thin">
          <color theme="2"/>
        </top>
        <bottom style="thin">
          <color theme="2"/>
        </bottom>
      </border>
    </dxf>
  </dxfs>
  <tableStyles count="7" defaultTableStyle="TableStyleMedium2" defaultPivotStyle="PivotStyleLight16">
    <tableStyle name="Slicer Style 1" pivot="0" table="0" count="1" xr9:uid="{1C6C2295-5A13-413D-A15C-17DD59A61ECC}">
      <tableStyleElement type="wholeTable" dxfId="143"/>
    </tableStyle>
    <tableStyle name="Slicer Style 2" pivot="0" table="0" count="1" xr9:uid="{9552441A-FF86-4E6F-B450-4FC15DD584CD}">
      <tableStyleElement type="wholeTable" dxfId="142"/>
    </tableStyle>
    <tableStyle name="Slicer Style 3" pivot="0" table="0" count="1" xr9:uid="{EF597101-A9CF-47E6-B2E5-FBC2670DCDE3}">
      <tableStyleElement type="wholeTable" dxfId="141"/>
    </tableStyle>
    <tableStyle name="Slicer Style 4" pivot="0" table="0" count="1" xr9:uid="{AF262A4E-2196-4994-A941-0973DB7FA1C5}">
      <tableStyleElement type="wholeTable" dxfId="140"/>
    </tableStyle>
    <tableStyle name="Slicer Style 5" pivot="0" table="0" count="1" xr9:uid="{3DDEA55C-AD1C-45A5-BA6B-52A3F51E1A9C}">
      <tableStyleElement type="wholeTable" dxfId="139"/>
    </tableStyle>
    <tableStyle name="Slicer Style 6" pivot="0" table="0" count="1" xr9:uid="{CB74F361-5955-49A6-BB9A-15C1D949E5FC}"/>
    <tableStyle name="Slicer Style 7" pivot="0" table="0" count="1" xr9:uid="{BD082239-D53C-437F-B028-B35202C2F10B}"/>
  </tableStyles>
  <colors>
    <mruColors>
      <color rgb="FF278489"/>
    </mruColors>
  </colors>
  <extLst>
    <ext xmlns:x14="http://schemas.microsoft.com/office/spreadsheetml/2009/9/main" uri="{46F421CA-312F-682f-3DD2-61675219B42D}">
      <x14:dxfs count="1">
        <dxf>
          <fill>
            <patternFill patternType="none">
              <bgColor auto="1"/>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Elements>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worksheet" Target="worksheets/sheet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pivotCacheDefinition" Target="pivotCache/pivotCacheDefinition3.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2.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5.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120020186952785E-3"/>
          <c:y val="5.0289156664969342E-3"/>
          <c:w val="0.95836740672598275"/>
          <c:h val="0.34294327488318344"/>
        </c:manualLayout>
      </c:layout>
      <c:areaChart>
        <c:grouping val="standard"/>
        <c:varyColors val="0"/>
        <c:ser>
          <c:idx val="0"/>
          <c:order val="0"/>
          <c:tx>
            <c:strRef>
              <c:f>'Pivot report'!$D$3</c:f>
              <c:strCache>
                <c:ptCount val="1"/>
                <c:pt idx="0">
                  <c:v>Total</c:v>
                </c:pt>
              </c:strCache>
            </c:strRef>
          </c:tx>
          <c:spPr>
            <a:solidFill>
              <a:schemeClr val="accent1"/>
            </a:solidFill>
            <a:ln w="25400">
              <a:noFill/>
            </a:ln>
            <a:effectLst/>
          </c:spPr>
          <c:cat>
            <c:multiLvlStrRef>
              <c:f>'Pivot report'!$C$4:$C$36</c:f>
              <c:multiLvlStrCache>
                <c:ptCount val="31"/>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lvl>
                <c:lvl>
                  <c:pt idx="0">
                    <c:v>Jan</c:v>
                  </c:pt>
                </c:lvl>
              </c:multiLvlStrCache>
            </c:multiLvlStrRef>
          </c:cat>
          <c:val>
            <c:numRef>
              <c:f>'Pivot report'!$D$4:$D$36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3-4AF8-401C-AB72-F96235F9E204}"/>
            </c:ext>
          </c:extLst>
        </c:ser>
        <c:dLbls>
          <c:showLegendKey val="0"/>
          <c:showVal val="0"/>
          <c:showCatName val="0"/>
          <c:showSerName val="0"/>
          <c:showPercent val="0"/>
          <c:showBubbleSize val="0"/>
        </c:dLbls>
        <c:axId val="284808015"/>
        <c:axId val="284810415"/>
      </c:areaChart>
      <c:catAx>
        <c:axId val="284808015"/>
        <c:scaling>
          <c:orientation val="minMax"/>
        </c:scaling>
        <c:delete val="1"/>
        <c:axPos val="b"/>
        <c:numFmt formatCode="General" sourceLinked="1"/>
        <c:majorTickMark val="out"/>
        <c:minorTickMark val="none"/>
        <c:tickLblPos val="nextTo"/>
        <c:crossAx val="284810415"/>
        <c:crosses val="autoZero"/>
        <c:auto val="1"/>
        <c:lblAlgn val="ctr"/>
        <c:lblOffset val="100"/>
        <c:noMultiLvlLbl val="0"/>
      </c:catAx>
      <c:valAx>
        <c:axId val="284810415"/>
        <c:scaling>
          <c:orientation val="minMax"/>
        </c:scaling>
        <c:delete val="1"/>
        <c:axPos val="l"/>
        <c:numFmt formatCode="General" sourceLinked="1"/>
        <c:majorTickMark val="none"/>
        <c:minorTickMark val="none"/>
        <c:tickLblPos val="nextTo"/>
        <c:crossAx val="2848080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85589522128129469"/>
          <c:h val="0.76842105263157889"/>
        </c:manualLayout>
      </c:layout>
      <c:areaChart>
        <c:grouping val="standard"/>
        <c:varyColors val="0"/>
        <c:ser>
          <c:idx val="0"/>
          <c:order val="0"/>
          <c:tx>
            <c:strRef>
              <c:f>'Pivot report'!$G$3</c:f>
              <c:strCache>
                <c:ptCount val="1"/>
                <c:pt idx="0">
                  <c:v>Total</c:v>
                </c:pt>
              </c:strCache>
            </c:strRef>
          </c:tx>
          <c:spPr>
            <a:solidFill>
              <a:schemeClr val="accent1"/>
            </a:solidFill>
            <a:ln w="25400">
              <a:noFill/>
            </a:ln>
            <a:effectLst/>
          </c:spPr>
          <c:cat>
            <c:multiLvlStrRef>
              <c:f>'Pivot report'!$F$4:$F$35</c:f>
              <c:multiLvlStrCache>
                <c:ptCount val="31"/>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lvl>
                <c:lvl>
                  <c:pt idx="0">
                    <c:v>Jan</c:v>
                  </c:pt>
                </c:lvl>
              </c:multiLvlStrCache>
            </c:multiLvlStrRef>
          </c:cat>
          <c:val>
            <c:numRef>
              <c:f>'Pivot report'!$G$4:$G$35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3-20E0-4EB0-940A-F41271D8E0D1}"/>
            </c:ext>
          </c:extLst>
        </c:ser>
        <c:dLbls>
          <c:showLegendKey val="0"/>
          <c:showVal val="0"/>
          <c:showCatName val="0"/>
          <c:showSerName val="0"/>
          <c:showPercent val="0"/>
          <c:showBubbleSize val="0"/>
        </c:dLbls>
        <c:axId val="1926666416"/>
        <c:axId val="1926668816"/>
      </c:areaChart>
      <c:catAx>
        <c:axId val="1926666416"/>
        <c:scaling>
          <c:orientation val="minMax"/>
        </c:scaling>
        <c:delete val="1"/>
        <c:axPos val="b"/>
        <c:numFmt formatCode="General" sourceLinked="1"/>
        <c:majorTickMark val="out"/>
        <c:minorTickMark val="none"/>
        <c:tickLblPos val="nextTo"/>
        <c:crossAx val="1926668816"/>
        <c:crosses val="autoZero"/>
        <c:auto val="1"/>
        <c:lblAlgn val="ctr"/>
        <c:lblOffset val="100"/>
        <c:noMultiLvlLbl val="0"/>
      </c:catAx>
      <c:valAx>
        <c:axId val="1926668816"/>
        <c:scaling>
          <c:orientation val="minMax"/>
        </c:scaling>
        <c:delete val="1"/>
        <c:axPos val="l"/>
        <c:numFmt formatCode="0.00" sourceLinked="1"/>
        <c:majorTickMark val="none"/>
        <c:minorTickMark val="none"/>
        <c:tickLblPos val="nextTo"/>
        <c:crossAx val="19266664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report!PivotTable6</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report'!$K$3</c:f>
              <c:strCache>
                <c:ptCount val="1"/>
                <c:pt idx="0">
                  <c:v>Total</c:v>
                </c:pt>
              </c:strCache>
            </c:strRef>
          </c:tx>
          <c:spPr>
            <a:solidFill>
              <a:schemeClr val="accent1"/>
            </a:solidFill>
            <a:ln w="25400">
              <a:noFill/>
            </a:ln>
            <a:effectLst/>
          </c:spPr>
          <c:cat>
            <c:strRef>
              <c:f>'Pivot report'!$J$4:$J$34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report'!$K$4:$K$34</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3-5349-4C40-9FD4-E5C17DEFED6E}"/>
            </c:ext>
          </c:extLst>
        </c:ser>
        <c:dLbls>
          <c:showLegendKey val="0"/>
          <c:showVal val="0"/>
          <c:showCatName val="0"/>
          <c:showSerName val="0"/>
          <c:showPercent val="0"/>
          <c:showBubbleSize val="0"/>
        </c:dLbls>
        <c:axId val="1728971808"/>
        <c:axId val="1731473184"/>
      </c:areaChart>
      <c:catAx>
        <c:axId val="1728971808"/>
        <c:scaling>
          <c:orientation val="minMax"/>
        </c:scaling>
        <c:delete val="1"/>
        <c:axPos val="b"/>
        <c:numFmt formatCode="General" sourceLinked="1"/>
        <c:majorTickMark val="out"/>
        <c:minorTickMark val="none"/>
        <c:tickLblPos val="nextTo"/>
        <c:crossAx val="1731473184"/>
        <c:crosses val="autoZero"/>
        <c:auto val="1"/>
        <c:lblAlgn val="ctr"/>
        <c:lblOffset val="100"/>
        <c:noMultiLvlLbl val="0"/>
      </c:catAx>
      <c:valAx>
        <c:axId val="1731473184"/>
        <c:scaling>
          <c:orientation val="minMax"/>
        </c:scaling>
        <c:delete val="1"/>
        <c:axPos val="l"/>
        <c:numFmt formatCode="0.00" sourceLinked="1"/>
        <c:majorTickMark val="none"/>
        <c:minorTickMark val="none"/>
        <c:tickLblPos val="nextTo"/>
        <c:crossAx val="17289718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report!PivotTable9</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report'!$A$54:$A$61</c:f>
              <c:strCache>
                <c:ptCount val="8"/>
                <c:pt idx="0">
                  <c:v>0-09</c:v>
                </c:pt>
                <c:pt idx="1">
                  <c:v>10-19</c:v>
                </c:pt>
                <c:pt idx="2">
                  <c:v>20-29</c:v>
                </c:pt>
                <c:pt idx="3">
                  <c:v>30-39</c:v>
                </c:pt>
                <c:pt idx="4">
                  <c:v>40-49</c:v>
                </c:pt>
                <c:pt idx="5">
                  <c:v>50-59</c:v>
                </c:pt>
                <c:pt idx="6">
                  <c:v>60-69</c:v>
                </c:pt>
                <c:pt idx="7">
                  <c:v>70-79</c:v>
                </c:pt>
              </c:strCache>
            </c:strRef>
          </c:cat>
          <c:val>
            <c:numRef>
              <c:f>'Pivot report'!$B$54:$B$61</c:f>
              <c:numCache>
                <c:formatCode>0.00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3-D523-40EC-A1F7-541138041A7A}"/>
            </c:ext>
          </c:extLst>
        </c:ser>
        <c:dLbls>
          <c:dLblPos val="outEnd"/>
          <c:showLegendKey val="0"/>
          <c:showVal val="1"/>
          <c:showCatName val="0"/>
          <c:showSerName val="0"/>
          <c:showPercent val="0"/>
          <c:showBubbleSize val="0"/>
        </c:dLbls>
        <c:gapWidth val="219"/>
        <c:overlap val="-27"/>
        <c:axId val="1541564304"/>
        <c:axId val="2075753744"/>
      </c:barChart>
      <c:catAx>
        <c:axId val="154156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2075753744"/>
        <c:crosses val="autoZero"/>
        <c:auto val="1"/>
        <c:lblAlgn val="ctr"/>
        <c:lblOffset val="100"/>
        <c:noMultiLvlLbl val="0"/>
      </c:catAx>
      <c:valAx>
        <c:axId val="2075753744"/>
        <c:scaling>
          <c:orientation val="minMax"/>
        </c:scaling>
        <c:delete val="1"/>
        <c:axPos val="l"/>
        <c:numFmt formatCode="0.00" sourceLinked="1"/>
        <c:majorTickMark val="none"/>
        <c:minorTickMark val="none"/>
        <c:tickLblPos val="nextTo"/>
        <c:crossAx val="154156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60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report!PivotTable7</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18123253118822005"/>
          <c:y val="0.20742387066850357"/>
          <c:w val="0.68679877038589521"/>
          <c:h val="0.74695629234077099"/>
        </c:manualLayout>
      </c:layout>
      <c:pieChart>
        <c:varyColors val="1"/>
        <c:ser>
          <c:idx val="0"/>
          <c:order val="0"/>
          <c:tx>
            <c:strRef>
              <c:f>'Pivot report'!$B$69</c:f>
              <c:strCache>
                <c:ptCount val="1"/>
                <c:pt idx="0">
                  <c:v>Count of Calculated Column 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report'!$A$70:$A$71</c:f>
              <c:strCache>
                <c:ptCount val="2"/>
                <c:pt idx="0">
                  <c:v>Delayed</c:v>
                </c:pt>
                <c:pt idx="1">
                  <c:v>Ontime</c:v>
                </c:pt>
              </c:strCache>
            </c:strRef>
          </c:cat>
          <c:val>
            <c:numRef>
              <c:f>'Pivot report'!$B$70:$B$71</c:f>
              <c:numCache>
                <c:formatCode>0</c:formatCode>
                <c:ptCount val="2"/>
                <c:pt idx="0">
                  <c:v>316</c:v>
                </c:pt>
                <c:pt idx="1">
                  <c:v>197</c:v>
                </c:pt>
              </c:numCache>
            </c:numRef>
          </c:val>
          <c:extLst>
            <c:ext xmlns:c16="http://schemas.microsoft.com/office/drawing/2014/chart" uri="{C3380CC4-5D6E-409C-BE32-E72D297353CC}">
              <c16:uniqueId val="{0000000D-1BA2-40BA-88C4-CC4C425CF841}"/>
            </c:ext>
          </c:extLst>
        </c:ser>
        <c:ser>
          <c:idx val="1"/>
          <c:order val="1"/>
          <c:tx>
            <c:strRef>
              <c:f>'Pivot report'!$C$69</c:f>
              <c:strCache>
                <c:ptCount val="1"/>
                <c:pt idx="0">
                  <c:v>Count of Calculated Column 2_2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report'!$A$70:$A$71</c:f>
              <c:strCache>
                <c:ptCount val="2"/>
                <c:pt idx="0">
                  <c:v>Delayed</c:v>
                </c:pt>
                <c:pt idx="1">
                  <c:v>Ontime</c:v>
                </c:pt>
              </c:strCache>
            </c:strRef>
          </c:cat>
          <c:val>
            <c:numRef>
              <c:f>'Pivot report'!$C$70:$C$71</c:f>
              <c:numCache>
                <c:formatCode>0</c:formatCode>
                <c:ptCount val="2"/>
                <c:pt idx="0">
                  <c:v>316</c:v>
                </c:pt>
                <c:pt idx="1">
                  <c:v>197</c:v>
                </c:pt>
              </c:numCache>
            </c:numRef>
          </c:val>
          <c:extLst>
            <c:ext xmlns:c16="http://schemas.microsoft.com/office/drawing/2014/chart" uri="{C3380CC4-5D6E-409C-BE32-E72D297353CC}">
              <c16:uniqueId val="{0000000E-1BA2-40BA-88C4-CC4C425CF84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11221259197136182"/>
          <c:y val="2.8492637157845981E-3"/>
          <c:w val="0.85833270398003025"/>
          <c:h val="0.32535488550409281"/>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report!PivotTable10</c:name>
    <c:fmtId val="4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3545294773188154"/>
          <c:y val="0.24680851063829787"/>
          <c:w val="0.23356535189481825"/>
          <c:h val="0.64255319148936174"/>
        </c:manualLayout>
      </c:layout>
      <c:doughnutChart>
        <c:varyColors val="1"/>
        <c:ser>
          <c:idx val="0"/>
          <c:order val="0"/>
          <c:tx>
            <c:strRef>
              <c:f>'Pivot report'!$B$86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report'!$A$87:$A$88</c:f>
              <c:strCache>
                <c:ptCount val="2"/>
                <c:pt idx="0">
                  <c:v>Female</c:v>
                </c:pt>
                <c:pt idx="1">
                  <c:v>Male</c:v>
                </c:pt>
              </c:strCache>
            </c:strRef>
          </c:cat>
          <c:val>
            <c:numRef>
              <c:f>'Pivot report'!$B$87:$B$88</c:f>
              <c:numCache>
                <c:formatCode>0</c:formatCode>
                <c:ptCount val="2"/>
                <c:pt idx="0">
                  <c:v>239</c:v>
                </c:pt>
                <c:pt idx="1">
                  <c:v>274</c:v>
                </c:pt>
              </c:numCache>
            </c:numRef>
          </c:val>
          <c:extLst>
            <c:ext xmlns:c16="http://schemas.microsoft.com/office/drawing/2014/chart" uri="{C3380CC4-5D6E-409C-BE32-E72D297353CC}">
              <c16:uniqueId val="{00000007-616C-45A7-BC77-43C249758D2D}"/>
            </c:ext>
          </c:extLst>
        </c:ser>
        <c:dLbls>
          <c:showLegendKey val="0"/>
          <c:showVal val="1"/>
          <c:showCatName val="0"/>
          <c:showSerName val="0"/>
          <c:showPercent val="0"/>
          <c:showBubbleSize val="0"/>
          <c:showLeaderLines val="1"/>
        </c:dLbls>
        <c:firstSliceAng val="0"/>
        <c:holeSize val="39"/>
      </c:doughnutChart>
      <c:spPr>
        <a:noFill/>
        <a:ln>
          <a:noFill/>
        </a:ln>
        <a:effectLst/>
      </c:spPr>
    </c:plotArea>
    <c:legend>
      <c:legendPos val="r"/>
      <c:layout>
        <c:manualLayout>
          <c:xMode val="edge"/>
          <c:yMode val="edge"/>
          <c:x val="0.26203676976572826"/>
          <c:y val="1.5956441615010888E-2"/>
          <c:w val="0.18985948749301654"/>
          <c:h val="0.328203604643861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report!PivotTable11</c:name>
    <c:fmtId val="5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report'!$B$96</c:f>
              <c:strCache>
                <c:ptCount val="1"/>
                <c:pt idx="0">
                  <c:v>Total</c:v>
                </c:pt>
              </c:strCache>
            </c:strRef>
          </c:tx>
          <c:spPr>
            <a:solidFill>
              <a:schemeClr val="accent1"/>
            </a:solidFill>
            <a:ln>
              <a:noFill/>
            </a:ln>
            <a:effectLst/>
          </c:spPr>
          <c:invertIfNegative val="0"/>
          <c:cat>
            <c:strRef>
              <c:f>'Pivot report'!$A$97:$A$104</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report'!$B$97:$B$104</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3-9150-4394-B163-674DC0941E8D}"/>
            </c:ext>
          </c:extLst>
        </c:ser>
        <c:dLbls>
          <c:showLegendKey val="0"/>
          <c:showVal val="0"/>
          <c:showCatName val="0"/>
          <c:showSerName val="0"/>
          <c:showPercent val="0"/>
          <c:showBubbleSize val="0"/>
        </c:dLbls>
        <c:gapWidth val="182"/>
        <c:axId val="1230947135"/>
        <c:axId val="1230950015"/>
      </c:barChart>
      <c:catAx>
        <c:axId val="1230947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230950015"/>
        <c:crosses val="autoZero"/>
        <c:auto val="1"/>
        <c:lblAlgn val="ctr"/>
        <c:lblOffset val="100"/>
        <c:noMultiLvlLbl val="0"/>
      </c:catAx>
      <c:valAx>
        <c:axId val="123095001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23094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report!PivotTable5</c:name>
    <c:fmtId val="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report'!$D$3</c:f>
              <c:strCache>
                <c:ptCount val="1"/>
                <c:pt idx="0">
                  <c:v>Total</c:v>
                </c:pt>
              </c:strCache>
            </c:strRef>
          </c:tx>
          <c:spPr>
            <a:solidFill>
              <a:schemeClr val="accent1"/>
            </a:solidFill>
            <a:ln w="25400">
              <a:noFill/>
            </a:ln>
            <a:effectLst/>
          </c:spPr>
          <c:cat>
            <c:multiLvlStrRef>
              <c:f>'Pivot report'!$C$4:$C$36</c:f>
              <c:multiLvlStrCache>
                <c:ptCount val="31"/>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lvl>
                <c:lvl>
                  <c:pt idx="0">
                    <c:v>Jan</c:v>
                  </c:pt>
                </c:lvl>
              </c:multiLvlStrCache>
            </c:multiLvlStrRef>
          </c:cat>
          <c:val>
            <c:numRef>
              <c:f>'Pivot report'!$D$4:$D$36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1CBC-478C-9E6A-D1DF30CD615C}"/>
            </c:ext>
          </c:extLst>
        </c:ser>
        <c:dLbls>
          <c:showLegendKey val="0"/>
          <c:showVal val="0"/>
          <c:showCatName val="0"/>
          <c:showSerName val="0"/>
          <c:showPercent val="0"/>
          <c:showBubbleSize val="0"/>
        </c:dLbls>
        <c:axId val="284808015"/>
        <c:axId val="284810415"/>
      </c:areaChart>
      <c:catAx>
        <c:axId val="2848080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810415"/>
        <c:crosses val="autoZero"/>
        <c:auto val="1"/>
        <c:lblAlgn val="ctr"/>
        <c:lblOffset val="100"/>
        <c:noMultiLvlLbl val="0"/>
      </c:catAx>
      <c:valAx>
        <c:axId val="284810415"/>
        <c:scaling>
          <c:orientation val="minMax"/>
        </c:scaling>
        <c:delete val="1"/>
        <c:axPos val="l"/>
        <c:numFmt formatCode="General" sourceLinked="1"/>
        <c:majorTickMark val="none"/>
        <c:minorTickMark val="none"/>
        <c:tickLblPos val="nextTo"/>
        <c:crossAx val="2848080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report'!$G$3</c:f>
              <c:strCache>
                <c:ptCount val="1"/>
                <c:pt idx="0">
                  <c:v>Total</c:v>
                </c:pt>
              </c:strCache>
            </c:strRef>
          </c:tx>
          <c:spPr>
            <a:solidFill>
              <a:schemeClr val="accent1"/>
            </a:solidFill>
            <a:ln w="25400">
              <a:noFill/>
            </a:ln>
            <a:effectLst/>
          </c:spPr>
          <c:cat>
            <c:multiLvlStrRef>
              <c:f>'Pivot report'!$F$4:$F$35</c:f>
              <c:multiLvlStrCache>
                <c:ptCount val="31"/>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lvl>
                <c:lvl>
                  <c:pt idx="0">
                    <c:v>Jan</c:v>
                  </c:pt>
                </c:lvl>
              </c:multiLvlStrCache>
            </c:multiLvlStrRef>
          </c:cat>
          <c:val>
            <c:numRef>
              <c:f>'Pivot report'!$G$4:$G$35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BBCF-46BA-A11B-970E73AFA0C5}"/>
            </c:ext>
          </c:extLst>
        </c:ser>
        <c:dLbls>
          <c:showLegendKey val="0"/>
          <c:showVal val="0"/>
          <c:showCatName val="0"/>
          <c:showSerName val="0"/>
          <c:showPercent val="0"/>
          <c:showBubbleSize val="0"/>
        </c:dLbls>
        <c:axId val="1926666416"/>
        <c:axId val="1926668816"/>
      </c:areaChart>
      <c:catAx>
        <c:axId val="1926666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668816"/>
        <c:crosses val="autoZero"/>
        <c:auto val="1"/>
        <c:lblAlgn val="ctr"/>
        <c:lblOffset val="100"/>
        <c:noMultiLvlLbl val="0"/>
      </c:catAx>
      <c:valAx>
        <c:axId val="1926668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6664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report!PivotTable6</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report'!$K$3</c:f>
              <c:strCache>
                <c:ptCount val="1"/>
                <c:pt idx="0">
                  <c:v>Total</c:v>
                </c:pt>
              </c:strCache>
            </c:strRef>
          </c:tx>
          <c:spPr>
            <a:solidFill>
              <a:schemeClr val="accent1"/>
            </a:solidFill>
            <a:ln w="25400">
              <a:noFill/>
            </a:ln>
            <a:effectLst/>
          </c:spPr>
          <c:cat>
            <c:strRef>
              <c:f>'Pivot report'!$J$4:$J$34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report'!$K$4:$K$34</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4C92-4B21-A873-D5421479A86E}"/>
            </c:ext>
          </c:extLst>
        </c:ser>
        <c:dLbls>
          <c:showLegendKey val="0"/>
          <c:showVal val="0"/>
          <c:showCatName val="0"/>
          <c:showSerName val="0"/>
          <c:showPercent val="0"/>
          <c:showBubbleSize val="0"/>
        </c:dLbls>
        <c:axId val="1728971808"/>
        <c:axId val="1731473184"/>
      </c:areaChart>
      <c:catAx>
        <c:axId val="1728971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473184"/>
        <c:crosses val="autoZero"/>
        <c:auto val="1"/>
        <c:lblAlgn val="ctr"/>
        <c:lblOffset val="100"/>
        <c:noMultiLvlLbl val="0"/>
      </c:catAx>
      <c:valAx>
        <c:axId val="17314731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97180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report'!$B$43</c:f>
              <c:strCache>
                <c:ptCount val="1"/>
                <c:pt idx="0">
                  <c:v>Count of Patient Admission Flag</c:v>
                </c:pt>
              </c:strCache>
            </c:strRef>
          </c:tx>
          <c:spPr>
            <a:solidFill>
              <a:schemeClr val="accent1"/>
            </a:solidFill>
            <a:ln>
              <a:noFill/>
            </a:ln>
            <a:effectLst/>
          </c:spPr>
          <c:invertIfNegative val="0"/>
          <c:cat>
            <c:strRef>
              <c:f>'Pivot report'!$A$44:$A$45</c:f>
              <c:strCache>
                <c:ptCount val="2"/>
                <c:pt idx="0">
                  <c:v>Admitted</c:v>
                </c:pt>
                <c:pt idx="1">
                  <c:v>Not Admitted</c:v>
                </c:pt>
              </c:strCache>
            </c:strRef>
          </c:cat>
          <c:val>
            <c:numRef>
              <c:f>'Pivot report'!$B$44:$B$45</c:f>
              <c:numCache>
                <c:formatCode>0</c:formatCode>
                <c:ptCount val="2"/>
                <c:pt idx="0">
                  <c:v>269</c:v>
                </c:pt>
                <c:pt idx="1">
                  <c:v>244</c:v>
                </c:pt>
              </c:numCache>
            </c:numRef>
          </c:val>
          <c:extLst>
            <c:ext xmlns:c16="http://schemas.microsoft.com/office/drawing/2014/chart" uri="{C3380CC4-5D6E-409C-BE32-E72D297353CC}">
              <c16:uniqueId val="{00000004-44FA-46AA-91FB-52373A62D4D8}"/>
            </c:ext>
          </c:extLst>
        </c:ser>
        <c:ser>
          <c:idx val="1"/>
          <c:order val="1"/>
          <c:tx>
            <c:strRef>
              <c:f>'Pivot report'!$C$43</c:f>
              <c:strCache>
                <c:ptCount val="1"/>
                <c:pt idx="0">
                  <c:v>Count of Patient Admission Flag2</c:v>
                </c:pt>
              </c:strCache>
            </c:strRef>
          </c:tx>
          <c:spPr>
            <a:solidFill>
              <a:schemeClr val="accent2"/>
            </a:solidFill>
            <a:ln>
              <a:noFill/>
            </a:ln>
            <a:effectLst/>
          </c:spPr>
          <c:invertIfNegative val="0"/>
          <c:cat>
            <c:strRef>
              <c:f>'Pivot report'!$A$44:$A$45</c:f>
              <c:strCache>
                <c:ptCount val="2"/>
                <c:pt idx="0">
                  <c:v>Admitted</c:v>
                </c:pt>
                <c:pt idx="1">
                  <c:v>Not Admitted</c:v>
                </c:pt>
              </c:strCache>
            </c:strRef>
          </c:cat>
          <c:val>
            <c:numRef>
              <c:f>'Pivot report'!$C$44:$C$45</c:f>
              <c:numCache>
                <c:formatCode>0.00%</c:formatCode>
                <c:ptCount val="2"/>
                <c:pt idx="0">
                  <c:v>0.52436647173489281</c:v>
                </c:pt>
                <c:pt idx="1">
                  <c:v>0.47563352826510719</c:v>
                </c:pt>
              </c:numCache>
            </c:numRef>
          </c:val>
          <c:extLst>
            <c:ext xmlns:c16="http://schemas.microsoft.com/office/drawing/2014/chart" uri="{C3380CC4-5D6E-409C-BE32-E72D297353CC}">
              <c16:uniqueId val="{00000005-44FA-46AA-91FB-52373A62D4D8}"/>
            </c:ext>
          </c:extLst>
        </c:ser>
        <c:dLbls>
          <c:showLegendKey val="0"/>
          <c:showVal val="0"/>
          <c:showCatName val="0"/>
          <c:showSerName val="0"/>
          <c:showPercent val="0"/>
          <c:showBubbleSize val="0"/>
        </c:dLbls>
        <c:gapWidth val="182"/>
        <c:axId val="963544368"/>
        <c:axId val="963541488"/>
      </c:barChart>
      <c:catAx>
        <c:axId val="96354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541488"/>
        <c:crosses val="autoZero"/>
        <c:auto val="1"/>
        <c:lblAlgn val="ctr"/>
        <c:lblOffset val="100"/>
        <c:noMultiLvlLbl val="0"/>
      </c:catAx>
      <c:valAx>
        <c:axId val="9635414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54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report!PivotTable8</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E8FA6EB-0CF5-4A28-B391-243A0C2A1FF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D4790EC-1430-40A9-AAF0-DB8DBBFD7D9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E8FA6EB-0CF5-4A28-B391-243A0C2A1FF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D4790EC-1430-40A9-AAF0-DB8DBBFD7D9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
        <c:spPr>
          <a:solidFill>
            <a:schemeClr val="accent1"/>
          </a:solidFill>
          <a:ln>
            <a:noFill/>
          </a:ln>
          <a:effectLst/>
        </c:spPr>
        <c:dLbl>
          <c:idx val="0"/>
          <c:tx>
            <c:rich>
              <a:bodyPr rot="0" spcFirstLastPara="1" vertOverflow="ellipsis" vert="horz" wrap="square" anchor="ctr" anchorCtr="1"/>
              <a:lstStyle/>
              <a:p>
                <a:pPr>
                  <a:defRPr sz="500" b="0" i="0" u="none" strike="noStrike" kern="1200" baseline="0">
                    <a:solidFill>
                      <a:schemeClr val="tx1">
                        <a:lumMod val="75000"/>
                        <a:lumOff val="25000"/>
                      </a:schemeClr>
                    </a:solidFill>
                    <a:latin typeface="+mn-lt"/>
                    <a:ea typeface="+mn-ea"/>
                    <a:cs typeface="+mn-cs"/>
                  </a:defRPr>
                </a:pPr>
                <a:fld id="{BFCC4FEA-6E8A-42A1-A748-47C564508A77}" type="CELLRANGE">
                  <a:rPr lang="en-US"/>
                  <a:pPr>
                    <a:defRPr/>
                  </a:pPr>
                  <a:t>[CELLRANGE]</a:t>
                </a:fld>
                <a:endParaRPr lang="en-IN"/>
              </a:p>
            </c:rich>
          </c:tx>
          <c:spPr>
            <a:noFill/>
            <a:ln>
              <a:noFill/>
            </a:ln>
            <a:effectLst/>
          </c:spPr>
          <c:txPr>
            <a:bodyPr rot="0" spcFirstLastPara="1" vertOverflow="ellipsis" vert="horz"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
        <c:spPr>
          <a:solidFill>
            <a:schemeClr val="accent1"/>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report'!$B$43</c:f>
              <c:strCache>
                <c:ptCount val="1"/>
                <c:pt idx="0">
                  <c:v>Count of Patient Admission Flag</c:v>
                </c:pt>
              </c:strCache>
            </c:strRef>
          </c:tx>
          <c:spPr>
            <a:solidFill>
              <a:schemeClr val="accent1"/>
            </a:solidFill>
            <a:ln>
              <a:noFill/>
            </a:ln>
            <a:effectLst/>
          </c:spPr>
          <c:invertIfNegative val="0"/>
          <c:dPt>
            <c:idx val="0"/>
            <c:invertIfNegative val="0"/>
            <c:bubble3D val="0"/>
          </c:dPt>
          <c:dLbls>
            <c:dLbl>
              <c:idx val="0"/>
              <c:tx>
                <c:rich>
                  <a:bodyPr/>
                  <a:lstStyle/>
                  <a:p>
                    <a:fld id="{BFCC4FEA-6E8A-42A1-A748-47C564508A77}"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spPr>
              <a:noFill/>
              <a:ln>
                <a:noFill/>
              </a:ln>
              <a:effectLst/>
            </c:spPr>
            <c:txPr>
              <a:bodyPr rot="0" spcFirstLastPara="1" vertOverflow="ellipsis" vert="horz"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report'!$A$44:$A$45</c:f>
              <c:strCache>
                <c:ptCount val="2"/>
                <c:pt idx="0">
                  <c:v>Admitted</c:v>
                </c:pt>
                <c:pt idx="1">
                  <c:v>Not Admitted</c:v>
                </c:pt>
              </c:strCache>
            </c:strRef>
          </c:cat>
          <c:val>
            <c:numRef>
              <c:f>'Pivot report'!$B$44:$B$45</c:f>
              <c:numCache>
                <c:formatCode>0</c:formatCode>
                <c:ptCount val="2"/>
                <c:pt idx="0">
                  <c:v>269</c:v>
                </c:pt>
                <c:pt idx="1">
                  <c:v>244</c:v>
                </c:pt>
              </c:numCache>
            </c:numRef>
          </c:val>
          <c:extLst>
            <c:ext xmlns:c16="http://schemas.microsoft.com/office/drawing/2014/chart" uri="{C3380CC4-5D6E-409C-BE32-E72D297353CC}">
              <c16:uniqueId val="{00000007-6D01-43C3-B52B-1D3B2350B288}"/>
            </c:ext>
          </c:extLst>
        </c:ser>
        <c:ser>
          <c:idx val="1"/>
          <c:order val="1"/>
          <c:tx>
            <c:strRef>
              <c:f>'Pivot report'!$C$43</c:f>
              <c:strCache>
                <c:ptCount val="1"/>
                <c:pt idx="0">
                  <c:v>Count of Patient Admission Flag2</c:v>
                </c:pt>
              </c:strCache>
            </c:strRef>
          </c:tx>
          <c:spPr>
            <a:solidFill>
              <a:schemeClr val="accent2"/>
            </a:solidFill>
            <a:ln>
              <a:noFill/>
            </a:ln>
            <a:effectLst/>
          </c:spPr>
          <c:invertIfNegative val="0"/>
          <c:cat>
            <c:strRef>
              <c:f>'Pivot report'!$A$44:$A$45</c:f>
              <c:strCache>
                <c:ptCount val="2"/>
                <c:pt idx="0">
                  <c:v>Admitted</c:v>
                </c:pt>
                <c:pt idx="1">
                  <c:v>Not Admitted</c:v>
                </c:pt>
              </c:strCache>
            </c:strRef>
          </c:cat>
          <c:val>
            <c:numRef>
              <c:f>'Pivot report'!$C$44:$C$45</c:f>
              <c:numCache>
                <c:formatCode>0.00%</c:formatCode>
                <c:ptCount val="2"/>
                <c:pt idx="0">
                  <c:v>0.52436647173489281</c:v>
                </c:pt>
                <c:pt idx="1">
                  <c:v>0.47563352826510719</c:v>
                </c:pt>
              </c:numCache>
            </c:numRef>
          </c:val>
          <c:extLst>
            <c:ext xmlns:c16="http://schemas.microsoft.com/office/drawing/2014/chart" uri="{C3380CC4-5D6E-409C-BE32-E72D297353CC}">
              <c16:uniqueId val="{00000008-6D01-43C3-B52B-1D3B2350B288}"/>
            </c:ext>
          </c:extLst>
        </c:ser>
        <c:dLbls>
          <c:showLegendKey val="0"/>
          <c:showVal val="0"/>
          <c:showCatName val="0"/>
          <c:showSerName val="0"/>
          <c:showPercent val="0"/>
          <c:showBubbleSize val="0"/>
        </c:dLbls>
        <c:gapWidth val="0"/>
        <c:axId val="963544368"/>
        <c:axId val="963541488"/>
      </c:barChart>
      <c:catAx>
        <c:axId val="963544368"/>
        <c:scaling>
          <c:orientation val="minMax"/>
        </c:scaling>
        <c:delete val="1"/>
        <c:axPos val="l"/>
        <c:numFmt formatCode="General" sourceLinked="1"/>
        <c:majorTickMark val="none"/>
        <c:minorTickMark val="none"/>
        <c:tickLblPos val="nextTo"/>
        <c:crossAx val="963541488"/>
        <c:crosses val="autoZero"/>
        <c:auto val="1"/>
        <c:lblAlgn val="ctr"/>
        <c:lblOffset val="100"/>
        <c:noMultiLvlLbl val="0"/>
      </c:catAx>
      <c:valAx>
        <c:axId val="963541488"/>
        <c:scaling>
          <c:orientation val="minMax"/>
        </c:scaling>
        <c:delete val="1"/>
        <c:axPos val="b"/>
        <c:numFmt formatCode="0" sourceLinked="1"/>
        <c:majorTickMark val="none"/>
        <c:minorTickMark val="none"/>
        <c:tickLblPos val="nextTo"/>
        <c:crossAx val="96354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report!PivotTable9</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report'!$B$53</c:f>
              <c:strCache>
                <c:ptCount val="1"/>
                <c:pt idx="0">
                  <c:v>Total</c:v>
                </c:pt>
              </c:strCache>
            </c:strRef>
          </c:tx>
          <c:spPr>
            <a:solidFill>
              <a:schemeClr val="accent1"/>
            </a:solidFill>
            <a:ln>
              <a:noFill/>
            </a:ln>
            <a:effectLst/>
          </c:spPr>
          <c:invertIfNegative val="0"/>
          <c:cat>
            <c:strRef>
              <c:f>'Pivot report'!$A$54:$A$61</c:f>
              <c:strCache>
                <c:ptCount val="8"/>
                <c:pt idx="0">
                  <c:v>0-09</c:v>
                </c:pt>
                <c:pt idx="1">
                  <c:v>10-19</c:v>
                </c:pt>
                <c:pt idx="2">
                  <c:v>20-29</c:v>
                </c:pt>
                <c:pt idx="3">
                  <c:v>30-39</c:v>
                </c:pt>
                <c:pt idx="4">
                  <c:v>40-49</c:v>
                </c:pt>
                <c:pt idx="5">
                  <c:v>50-59</c:v>
                </c:pt>
                <c:pt idx="6">
                  <c:v>60-69</c:v>
                </c:pt>
                <c:pt idx="7">
                  <c:v>70-79</c:v>
                </c:pt>
              </c:strCache>
            </c:strRef>
          </c:cat>
          <c:val>
            <c:numRef>
              <c:f>'Pivot report'!$B$54:$B$61</c:f>
              <c:numCache>
                <c:formatCode>0.00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2-39FC-4A14-881B-A52ECA56F341}"/>
            </c:ext>
          </c:extLst>
        </c:ser>
        <c:dLbls>
          <c:showLegendKey val="0"/>
          <c:showVal val="0"/>
          <c:showCatName val="0"/>
          <c:showSerName val="0"/>
          <c:showPercent val="0"/>
          <c:showBubbleSize val="0"/>
        </c:dLbls>
        <c:gapWidth val="219"/>
        <c:overlap val="-27"/>
        <c:axId val="1541564304"/>
        <c:axId val="2075753744"/>
      </c:barChart>
      <c:catAx>
        <c:axId val="154156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753744"/>
        <c:crosses val="autoZero"/>
        <c:auto val="1"/>
        <c:lblAlgn val="ctr"/>
        <c:lblOffset val="100"/>
        <c:noMultiLvlLbl val="0"/>
      </c:catAx>
      <c:valAx>
        <c:axId val="2075753744"/>
        <c:scaling>
          <c:orientation val="minMax"/>
        </c:scaling>
        <c:delete val="1"/>
        <c:axPos val="l"/>
        <c:numFmt formatCode="0.00" sourceLinked="1"/>
        <c:majorTickMark val="none"/>
        <c:minorTickMark val="none"/>
        <c:tickLblPos val="nextTo"/>
        <c:crossAx val="154156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report!PivotTable7</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report'!$B$69</c:f>
              <c:strCache>
                <c:ptCount val="1"/>
                <c:pt idx="0">
                  <c:v>Count of Calculated Column 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report'!$A$70:$A$71</c:f>
              <c:strCache>
                <c:ptCount val="2"/>
                <c:pt idx="0">
                  <c:v>Delayed</c:v>
                </c:pt>
                <c:pt idx="1">
                  <c:v>Ontime</c:v>
                </c:pt>
              </c:strCache>
            </c:strRef>
          </c:cat>
          <c:val>
            <c:numRef>
              <c:f>'Pivot report'!$B$70:$B$71</c:f>
              <c:numCache>
                <c:formatCode>0</c:formatCode>
                <c:ptCount val="2"/>
                <c:pt idx="0">
                  <c:v>316</c:v>
                </c:pt>
                <c:pt idx="1">
                  <c:v>197</c:v>
                </c:pt>
              </c:numCache>
            </c:numRef>
          </c:val>
          <c:extLst>
            <c:ext xmlns:c16="http://schemas.microsoft.com/office/drawing/2014/chart" uri="{C3380CC4-5D6E-409C-BE32-E72D297353CC}">
              <c16:uniqueId val="{0000000C-7CEB-4257-BB09-36EBD8FB680E}"/>
            </c:ext>
          </c:extLst>
        </c:ser>
        <c:ser>
          <c:idx val="1"/>
          <c:order val="1"/>
          <c:tx>
            <c:strRef>
              <c:f>'Pivot report'!$C$69</c:f>
              <c:strCache>
                <c:ptCount val="1"/>
                <c:pt idx="0">
                  <c:v>Count of Calculated Column 2_2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report'!$A$70:$A$71</c:f>
              <c:strCache>
                <c:ptCount val="2"/>
                <c:pt idx="0">
                  <c:v>Delayed</c:v>
                </c:pt>
                <c:pt idx="1">
                  <c:v>Ontime</c:v>
                </c:pt>
              </c:strCache>
            </c:strRef>
          </c:cat>
          <c:val>
            <c:numRef>
              <c:f>'Pivot report'!$C$70:$C$71</c:f>
              <c:numCache>
                <c:formatCode>0</c:formatCode>
                <c:ptCount val="2"/>
                <c:pt idx="0">
                  <c:v>316</c:v>
                </c:pt>
                <c:pt idx="1">
                  <c:v>197</c:v>
                </c:pt>
              </c:numCache>
            </c:numRef>
          </c:val>
          <c:extLst>
            <c:ext xmlns:c16="http://schemas.microsoft.com/office/drawing/2014/chart" uri="{C3380CC4-5D6E-409C-BE32-E72D297353CC}">
              <c16:uniqueId val="{0000000D-7CEB-4257-BB09-36EBD8FB680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report!PivotTable10</c:name>
    <c:fmtId val="3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report'!$B$86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report'!$A$87:$A$88</c:f>
              <c:strCache>
                <c:ptCount val="2"/>
                <c:pt idx="0">
                  <c:v>Female</c:v>
                </c:pt>
                <c:pt idx="1">
                  <c:v>Male</c:v>
                </c:pt>
              </c:strCache>
            </c:strRef>
          </c:cat>
          <c:val>
            <c:numRef>
              <c:f>'Pivot report'!$B$87:$B$88</c:f>
              <c:numCache>
                <c:formatCode>0</c:formatCode>
                <c:ptCount val="2"/>
                <c:pt idx="0">
                  <c:v>239</c:v>
                </c:pt>
                <c:pt idx="1">
                  <c:v>274</c:v>
                </c:pt>
              </c:numCache>
            </c:numRef>
          </c:val>
          <c:extLst>
            <c:ext xmlns:c16="http://schemas.microsoft.com/office/drawing/2014/chart" uri="{C3380CC4-5D6E-409C-BE32-E72D297353CC}">
              <c16:uniqueId val="{00000006-0A8E-4270-8359-BEA6714E801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report!PivotTable11</c:name>
    <c:fmtId val="4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report'!$B$96</c:f>
              <c:strCache>
                <c:ptCount val="1"/>
                <c:pt idx="0">
                  <c:v>Total</c:v>
                </c:pt>
              </c:strCache>
            </c:strRef>
          </c:tx>
          <c:spPr>
            <a:solidFill>
              <a:schemeClr val="accent1"/>
            </a:solidFill>
            <a:ln>
              <a:noFill/>
            </a:ln>
            <a:effectLst/>
          </c:spPr>
          <c:invertIfNegative val="0"/>
          <c:cat>
            <c:strRef>
              <c:f>'Pivot report'!$A$97:$A$104</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report'!$B$97:$B$104</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3-24D1-4DCA-83B6-EE515C52ED6A}"/>
            </c:ext>
          </c:extLst>
        </c:ser>
        <c:dLbls>
          <c:showLegendKey val="0"/>
          <c:showVal val="0"/>
          <c:showCatName val="0"/>
          <c:showSerName val="0"/>
          <c:showPercent val="0"/>
          <c:showBubbleSize val="0"/>
        </c:dLbls>
        <c:gapWidth val="182"/>
        <c:axId val="1230947135"/>
        <c:axId val="1230950015"/>
      </c:barChart>
      <c:catAx>
        <c:axId val="1230947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950015"/>
        <c:crosses val="autoZero"/>
        <c:auto val="1"/>
        <c:lblAlgn val="ctr"/>
        <c:lblOffset val="100"/>
        <c:noMultiLvlLbl val="0"/>
      </c:catAx>
      <c:valAx>
        <c:axId val="123095001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947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report!PivotTable11</c:name>
    <c:fmtId val="5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report'!$B$96</c:f>
              <c:strCache>
                <c:ptCount val="1"/>
                <c:pt idx="0">
                  <c:v>Total</c:v>
                </c:pt>
              </c:strCache>
            </c:strRef>
          </c:tx>
          <c:spPr>
            <a:solidFill>
              <a:schemeClr val="accent1"/>
            </a:solidFill>
            <a:ln>
              <a:noFill/>
            </a:ln>
            <a:effectLst/>
          </c:spPr>
          <c:invertIfNegative val="0"/>
          <c:cat>
            <c:strRef>
              <c:f>'Pivot report'!$A$97:$A$104</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report'!$B$97:$B$104</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2-185A-4B48-815C-9B5CD69D5561}"/>
            </c:ext>
          </c:extLst>
        </c:ser>
        <c:dLbls>
          <c:showLegendKey val="0"/>
          <c:showVal val="0"/>
          <c:showCatName val="0"/>
          <c:showSerName val="0"/>
          <c:showPercent val="0"/>
          <c:showBubbleSize val="0"/>
        </c:dLbls>
        <c:gapWidth val="182"/>
        <c:axId val="1230947135"/>
        <c:axId val="1230950015"/>
      </c:barChart>
      <c:catAx>
        <c:axId val="1230947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950015"/>
        <c:crosses val="autoZero"/>
        <c:auto val="1"/>
        <c:lblAlgn val="ctr"/>
        <c:lblOffset val="100"/>
        <c:noMultiLvlLbl val="0"/>
      </c:catAx>
      <c:valAx>
        <c:axId val="123095001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94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report!PivotTable6</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of Patient Satisfaction Score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report'!$J$4:$J$34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report'!$K$4:$K$34</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4501-4AD1-A5D5-32AC045B1DFB}"/>
            </c:ext>
          </c:extLst>
        </c:ser>
        <c:dLbls>
          <c:showLegendKey val="0"/>
          <c:showVal val="1"/>
          <c:showCatName val="0"/>
          <c:showSerName val="0"/>
          <c:showPercent val="0"/>
          <c:showBubbleSize val="0"/>
        </c:dLbls>
        <c:axId val="1728971808"/>
        <c:axId val="1731473184"/>
      </c:areaChart>
      <c:catAx>
        <c:axId val="172897180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1473184"/>
        <c:crosses val="autoZero"/>
        <c:auto val="1"/>
        <c:lblAlgn val="ctr"/>
        <c:lblOffset val="100"/>
        <c:noMultiLvlLbl val="0"/>
      </c:catAx>
      <c:valAx>
        <c:axId val="173147318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89718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report!PivotTable1</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Average</a:t>
            </a:r>
            <a:r>
              <a:rPr lang="en-IN" baseline="0"/>
              <a:t> Wait-Time</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pivotFmt>
      <c:pivotFmt>
        <c:idx val="1"/>
      </c:pivotFmt>
      <c:pivotFmt>
        <c:idx val="2"/>
        <c:spPr>
          <a:solidFill>
            <a:schemeClr val="accent1">
              <a:alpha val="85000"/>
            </a:schemeClr>
          </a:solidFill>
          <a:ln>
            <a:noFill/>
          </a:ln>
          <a:effectLst>
            <a:innerShdw dist="12700" dir="16200000">
              <a:schemeClr val="lt1"/>
            </a:innerShdw>
          </a:effectLst>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alpha val="85000"/>
            </a:schemeClr>
          </a:solidFill>
          <a:ln>
            <a:noFill/>
          </a:ln>
          <a:effectLst>
            <a:innerShdw dist="12700" dir="16200000">
              <a:schemeClr val="lt1"/>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alpha val="85000"/>
            </a:schemeClr>
          </a:solidFill>
          <a:ln>
            <a:noFill/>
          </a:ln>
          <a:effectLst>
            <a:innerShdw dist="12700" dir="16200000">
              <a:schemeClr val="lt1"/>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report'!$G$3</c:f>
              <c:strCache>
                <c:ptCount val="1"/>
                <c:pt idx="0">
                  <c:v>Total</c:v>
                </c:pt>
              </c:strCache>
            </c:strRef>
          </c:tx>
          <c:spPr>
            <a:solidFill>
              <a:schemeClr val="accent1">
                <a:alpha val="85000"/>
              </a:schemeClr>
            </a:solidFill>
            <a:ln w="25400">
              <a:noFill/>
            </a:ln>
            <a:effectLst>
              <a:innerShdw dist="12700" dir="16200000">
                <a:schemeClr val="lt1"/>
              </a:innerShdw>
            </a:effectLst>
          </c:spPr>
          <c:cat>
            <c:multiLvlStrRef>
              <c:f>'Pivot report'!$F$4:$F$35</c:f>
              <c:multiLvlStrCache>
                <c:ptCount val="31"/>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lvl>
                <c:lvl>
                  <c:pt idx="0">
                    <c:v>Jan</c:v>
                  </c:pt>
                </c:lvl>
              </c:multiLvlStrCache>
            </c:multiLvlStrRef>
          </c:cat>
          <c:val>
            <c:numRef>
              <c:f>'Pivot report'!$G$4:$G$35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E511-49E4-9E87-2887978D0213}"/>
            </c:ext>
          </c:extLst>
        </c:ser>
        <c:dLbls>
          <c:showLegendKey val="0"/>
          <c:showVal val="0"/>
          <c:showCatName val="0"/>
          <c:showSerName val="0"/>
          <c:showPercent val="0"/>
          <c:showBubbleSize val="0"/>
        </c:dLbls>
        <c:axId val="1926666416"/>
        <c:axId val="1926668816"/>
      </c:areaChart>
      <c:catAx>
        <c:axId val="19266664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26668816"/>
        <c:crosses val="autoZero"/>
        <c:auto val="1"/>
        <c:lblAlgn val="ctr"/>
        <c:lblOffset val="100"/>
        <c:noMultiLvlLbl val="0"/>
      </c:catAx>
      <c:valAx>
        <c:axId val="1926668816"/>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26666416"/>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report!PivotTable5</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96298921481258E-2"/>
          <c:y val="0.15706947928221104"/>
          <c:w val="0.95836740672598275"/>
          <c:h val="0.34294327488318344"/>
        </c:manualLayout>
      </c:layout>
      <c:areaChart>
        <c:grouping val="standard"/>
        <c:varyColors val="0"/>
        <c:ser>
          <c:idx val="0"/>
          <c:order val="0"/>
          <c:tx>
            <c:strRef>
              <c:f>'Pivot report'!$D$3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report'!$C$4:$C$36</c:f>
              <c:multiLvlStrCache>
                <c:ptCount val="31"/>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lvl>
                <c:lvl>
                  <c:pt idx="0">
                    <c:v>Jan</c:v>
                  </c:pt>
                </c:lvl>
              </c:multiLvlStrCache>
            </c:multiLvlStrRef>
          </c:cat>
          <c:val>
            <c:numRef>
              <c:f>'Pivot report'!$D$4:$D$36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DECB-455A-8B4C-966329AD151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84808015"/>
        <c:axId val="284810415"/>
      </c:areaChart>
      <c:catAx>
        <c:axId val="28480801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84810415"/>
        <c:crosses val="autoZero"/>
        <c:auto val="1"/>
        <c:lblAlgn val="ctr"/>
        <c:lblOffset val="100"/>
        <c:noMultiLvlLbl val="0"/>
      </c:catAx>
      <c:valAx>
        <c:axId val="284810415"/>
        <c:scaling>
          <c:orientation val="minMax"/>
        </c:scaling>
        <c:delete val="1"/>
        <c:axPos val="l"/>
        <c:numFmt formatCode="General" sourceLinked="1"/>
        <c:majorTickMark val="out"/>
        <c:minorTickMark val="none"/>
        <c:tickLblPos val="nextTo"/>
        <c:crossAx val="28480801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Sheet3!A1"/><Relationship Id="rId13" Type="http://schemas.openxmlformats.org/officeDocument/2006/relationships/chart" Target="../charts/chart3.xml"/><Relationship Id="rId18"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A1"/><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hyperlink" Target="#'Avg WaitTime'!A1"/><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9.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absolute">
    <xdr:from>
      <xdr:col>0</xdr:col>
      <xdr:colOff>127000</xdr:colOff>
      <xdr:row>0</xdr:row>
      <xdr:rowOff>63500</xdr:rowOff>
    </xdr:from>
    <xdr:to>
      <xdr:col>5</xdr:col>
      <xdr:colOff>317500</xdr:colOff>
      <xdr:row>3</xdr:row>
      <xdr:rowOff>139700</xdr:rowOff>
    </xdr:to>
    <xdr:sp macro="" textlink="">
      <xdr:nvSpPr>
        <xdr:cNvPr id="2" name="Rectangle: Rounded Corners 1">
          <a:extLst>
            <a:ext uri="{FF2B5EF4-FFF2-40B4-BE49-F238E27FC236}">
              <a16:creationId xmlns:a16="http://schemas.microsoft.com/office/drawing/2014/main" id="{C5FCBEB1-0FC2-93F2-98E4-67127F320DF5}"/>
            </a:ext>
          </a:extLst>
        </xdr:cNvPr>
        <xdr:cNvSpPr/>
      </xdr:nvSpPr>
      <xdr:spPr>
        <a:xfrm>
          <a:off x="127000" y="63500"/>
          <a:ext cx="3237648" cy="625965"/>
        </a:xfrm>
        <a:prstGeom prst="roundRect">
          <a:avLst>
            <a:gd name="adj" fmla="val 7136"/>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355600</xdr:colOff>
      <xdr:row>0</xdr:row>
      <xdr:rowOff>57150</xdr:rowOff>
    </xdr:from>
    <xdr:to>
      <xdr:col>7</xdr:col>
      <xdr:colOff>127000</xdr:colOff>
      <xdr:row>3</xdr:row>
      <xdr:rowOff>133350</xdr:rowOff>
    </xdr:to>
    <xdr:sp macro="" textlink="">
      <xdr:nvSpPr>
        <xdr:cNvPr id="3" name="Rectangle: Rounded Corners 2">
          <a:extLst>
            <a:ext uri="{FF2B5EF4-FFF2-40B4-BE49-F238E27FC236}">
              <a16:creationId xmlns:a16="http://schemas.microsoft.com/office/drawing/2014/main" id="{7CF100C4-CF10-5E07-3B49-3EBD0B395B19}"/>
            </a:ext>
          </a:extLst>
        </xdr:cNvPr>
        <xdr:cNvSpPr/>
      </xdr:nvSpPr>
      <xdr:spPr>
        <a:xfrm>
          <a:off x="3403600" y="57150"/>
          <a:ext cx="990600" cy="635000"/>
        </a:xfrm>
        <a:prstGeom prst="roundRect">
          <a:avLst>
            <a:gd name="adj" fmla="val 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190500</xdr:colOff>
      <xdr:row>0</xdr:row>
      <xdr:rowOff>63500</xdr:rowOff>
    </xdr:from>
    <xdr:to>
      <xdr:col>9</xdr:col>
      <xdr:colOff>213087</xdr:colOff>
      <xdr:row>7</xdr:row>
      <xdr:rowOff>158750</xdr:rowOff>
    </xdr:to>
    <xdr:sp macro="" textlink="">
      <xdr:nvSpPr>
        <xdr:cNvPr id="4" name="Rectangle: Rounded Corners 3">
          <a:extLst>
            <a:ext uri="{FF2B5EF4-FFF2-40B4-BE49-F238E27FC236}">
              <a16:creationId xmlns:a16="http://schemas.microsoft.com/office/drawing/2014/main" id="{240D03A2-3B1F-34BD-3473-66E6B95F00E7}"/>
            </a:ext>
          </a:extLst>
        </xdr:cNvPr>
        <xdr:cNvSpPr/>
      </xdr:nvSpPr>
      <xdr:spPr>
        <a:xfrm>
          <a:off x="4457700" y="63500"/>
          <a:ext cx="1241787" cy="1399117"/>
        </a:xfrm>
        <a:prstGeom prst="roundRect">
          <a:avLst>
            <a:gd name="adj" fmla="val 6722"/>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268490</xdr:colOff>
      <xdr:row>0</xdr:row>
      <xdr:rowOff>46453</xdr:rowOff>
    </xdr:from>
    <xdr:to>
      <xdr:col>11</xdr:col>
      <xdr:colOff>313239</xdr:colOff>
      <xdr:row>7</xdr:row>
      <xdr:rowOff>166208</xdr:rowOff>
    </xdr:to>
    <xdr:sp macro="" textlink="">
      <xdr:nvSpPr>
        <xdr:cNvPr id="5" name="Rectangle: Rounded Corners 4">
          <a:extLst>
            <a:ext uri="{FF2B5EF4-FFF2-40B4-BE49-F238E27FC236}">
              <a16:creationId xmlns:a16="http://schemas.microsoft.com/office/drawing/2014/main" id="{8829CC57-F474-6B11-9368-692212650192}"/>
            </a:ext>
          </a:extLst>
        </xdr:cNvPr>
        <xdr:cNvSpPr/>
      </xdr:nvSpPr>
      <xdr:spPr>
        <a:xfrm>
          <a:off x="5754890" y="46453"/>
          <a:ext cx="1263949" cy="1423622"/>
        </a:xfrm>
        <a:prstGeom prst="roundRect">
          <a:avLst>
            <a:gd name="adj" fmla="val 6722"/>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127000</xdr:colOff>
      <xdr:row>4</xdr:row>
      <xdr:rowOff>12701</xdr:rowOff>
    </xdr:from>
    <xdr:to>
      <xdr:col>1</xdr:col>
      <xdr:colOff>361950</xdr:colOff>
      <xdr:row>13</xdr:row>
      <xdr:rowOff>127853</xdr:rowOff>
    </xdr:to>
    <xdr:sp macro="" textlink="">
      <xdr:nvSpPr>
        <xdr:cNvPr id="6" name="Rectangle: Rounded Corners 5">
          <a:extLst>
            <a:ext uri="{FF2B5EF4-FFF2-40B4-BE49-F238E27FC236}">
              <a16:creationId xmlns:a16="http://schemas.microsoft.com/office/drawing/2014/main" id="{EEE1FC11-99EB-E97A-438C-20190C6AE831}"/>
            </a:ext>
          </a:extLst>
        </xdr:cNvPr>
        <xdr:cNvSpPr/>
      </xdr:nvSpPr>
      <xdr:spPr>
        <a:xfrm>
          <a:off x="127000" y="745721"/>
          <a:ext cx="844380" cy="1764447"/>
        </a:xfrm>
        <a:prstGeom prst="roundRect">
          <a:avLst>
            <a:gd name="adj" fmla="val 8006"/>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397791</xdr:colOff>
      <xdr:row>4</xdr:row>
      <xdr:rowOff>8438</xdr:rowOff>
    </xdr:from>
    <xdr:to>
      <xdr:col>7</xdr:col>
      <xdr:colOff>174732</xdr:colOff>
      <xdr:row>13</xdr:row>
      <xdr:rowOff>118392</xdr:rowOff>
    </xdr:to>
    <xdr:grpSp>
      <xdr:nvGrpSpPr>
        <xdr:cNvPr id="10" name="Group 9">
          <a:extLst>
            <a:ext uri="{FF2B5EF4-FFF2-40B4-BE49-F238E27FC236}">
              <a16:creationId xmlns:a16="http://schemas.microsoft.com/office/drawing/2014/main" id="{F7B6D377-E6A1-D431-F76D-9755A93DB44F}"/>
            </a:ext>
          </a:extLst>
        </xdr:cNvPr>
        <xdr:cNvGrpSpPr/>
      </xdr:nvGrpSpPr>
      <xdr:grpSpPr>
        <a:xfrm>
          <a:off x="1005577" y="752295"/>
          <a:ext cx="3423655" cy="1783633"/>
          <a:chOff x="1028699" y="745021"/>
          <a:chExt cx="3100727" cy="1766229"/>
        </a:xfrm>
        <a:solidFill>
          <a:sysClr val="window" lastClr="FFFFFF"/>
        </a:solidFill>
      </xdr:grpSpPr>
      <xdr:sp macro="" textlink="">
        <xdr:nvSpPr>
          <xdr:cNvPr id="7" name="Rectangle: Rounded Corners 6">
            <a:extLst>
              <a:ext uri="{FF2B5EF4-FFF2-40B4-BE49-F238E27FC236}">
                <a16:creationId xmlns:a16="http://schemas.microsoft.com/office/drawing/2014/main" id="{497916BF-3DA0-BA3F-B1F7-4E056BCC0F26}"/>
              </a:ext>
            </a:extLst>
          </xdr:cNvPr>
          <xdr:cNvSpPr/>
        </xdr:nvSpPr>
        <xdr:spPr>
          <a:xfrm>
            <a:off x="1028700" y="749300"/>
            <a:ext cx="926223" cy="679450"/>
          </a:xfrm>
          <a:prstGeom prst="roundRect">
            <a:avLst>
              <a:gd name="adj" fmla="val 0"/>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E947F506-6B39-3112-C123-E5B1F1FAFAC4}"/>
              </a:ext>
            </a:extLst>
          </xdr:cNvPr>
          <xdr:cNvSpPr/>
        </xdr:nvSpPr>
        <xdr:spPr>
          <a:xfrm>
            <a:off x="2024198" y="745021"/>
            <a:ext cx="904440" cy="679450"/>
          </a:xfrm>
          <a:prstGeom prst="roundRect">
            <a:avLst>
              <a:gd name="adj" fmla="val 1230"/>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0E8DD62B-C9D5-41A2-E70E-602AC2675D72}"/>
              </a:ext>
            </a:extLst>
          </xdr:cNvPr>
          <xdr:cNvSpPr/>
        </xdr:nvSpPr>
        <xdr:spPr>
          <a:xfrm>
            <a:off x="2978671" y="749300"/>
            <a:ext cx="1128625" cy="679450"/>
          </a:xfrm>
          <a:prstGeom prst="roundRect">
            <a:avLst>
              <a:gd name="adj" fmla="val 0"/>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9B4CD39C-DB5E-E410-2206-5FD4B1959415}"/>
              </a:ext>
            </a:extLst>
          </xdr:cNvPr>
          <xdr:cNvSpPr/>
        </xdr:nvSpPr>
        <xdr:spPr>
          <a:xfrm>
            <a:off x="1028700" y="1806213"/>
            <a:ext cx="3100726" cy="705037"/>
          </a:xfrm>
          <a:prstGeom prst="roundRect">
            <a:avLst>
              <a:gd name="adj" fmla="val 8006"/>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1685FBB8-1FFE-7D90-1A75-913D4CB21E1B}"/>
              </a:ext>
            </a:extLst>
          </xdr:cNvPr>
          <xdr:cNvSpPr/>
        </xdr:nvSpPr>
        <xdr:spPr>
          <a:xfrm>
            <a:off x="1028699" y="1476756"/>
            <a:ext cx="3093028" cy="303786"/>
          </a:xfrm>
          <a:prstGeom prst="roundRect">
            <a:avLst>
              <a:gd name="adj" fmla="val 0"/>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38356</xdr:colOff>
      <xdr:row>13</xdr:row>
      <xdr:rowOff>98021</xdr:rowOff>
    </xdr:from>
    <xdr:to>
      <xdr:col>11</xdr:col>
      <xdr:colOff>549765</xdr:colOff>
      <xdr:row>13</xdr:row>
      <xdr:rowOff>136376</xdr:rowOff>
    </xdr:to>
    <xdr:cxnSp macro="">
      <xdr:nvCxnSpPr>
        <xdr:cNvPr id="14" name="Straight Arrow Connector 13">
          <a:extLst>
            <a:ext uri="{FF2B5EF4-FFF2-40B4-BE49-F238E27FC236}">
              <a16:creationId xmlns:a16="http://schemas.microsoft.com/office/drawing/2014/main" id="{8016F5C3-E918-47C7-F8F5-F059060E5D0A}"/>
            </a:ext>
          </a:extLst>
        </xdr:cNvPr>
        <xdr:cNvCxnSpPr/>
      </xdr:nvCxnSpPr>
      <xdr:spPr>
        <a:xfrm flipV="1">
          <a:off x="38356" y="2480336"/>
          <a:ext cx="7215134" cy="3835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absolute">
    <xdr:from>
      <xdr:col>7</xdr:col>
      <xdr:colOff>234396</xdr:colOff>
      <xdr:row>8</xdr:row>
      <xdr:rowOff>17048</xdr:rowOff>
    </xdr:from>
    <xdr:to>
      <xdr:col>11</xdr:col>
      <xdr:colOff>311108</xdr:colOff>
      <xdr:row>13</xdr:row>
      <xdr:rowOff>115067</xdr:rowOff>
    </xdr:to>
    <xdr:sp macro="" textlink="">
      <xdr:nvSpPr>
        <xdr:cNvPr id="25" name="Rectangle: Rounded Corners 24">
          <a:extLst>
            <a:ext uri="{FF2B5EF4-FFF2-40B4-BE49-F238E27FC236}">
              <a16:creationId xmlns:a16="http://schemas.microsoft.com/office/drawing/2014/main" id="{BF7A8F52-7E23-D7D3-19CB-EFB92EE21F3A}"/>
            </a:ext>
          </a:extLst>
        </xdr:cNvPr>
        <xdr:cNvSpPr/>
      </xdr:nvSpPr>
      <xdr:spPr>
        <a:xfrm>
          <a:off x="4501596" y="1507181"/>
          <a:ext cx="2515112" cy="1029353"/>
        </a:xfrm>
        <a:prstGeom prst="roundRect">
          <a:avLst>
            <a:gd name="adj" fmla="val 6722"/>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357986</xdr:colOff>
      <xdr:row>1</xdr:row>
      <xdr:rowOff>127852</xdr:rowOff>
    </xdr:from>
    <xdr:to>
      <xdr:col>6</xdr:col>
      <xdr:colOff>102282</xdr:colOff>
      <xdr:row>3</xdr:row>
      <xdr:rowOff>153423</xdr:rowOff>
    </xdr:to>
    <xdr:sp macro="" textlink="">
      <xdr:nvSpPr>
        <xdr:cNvPr id="26" name="TextBox 25">
          <a:extLst>
            <a:ext uri="{FF2B5EF4-FFF2-40B4-BE49-F238E27FC236}">
              <a16:creationId xmlns:a16="http://schemas.microsoft.com/office/drawing/2014/main" id="{C3904931-5D18-F9DC-3F68-C0B682E95351}"/>
            </a:ext>
          </a:extLst>
        </xdr:cNvPr>
        <xdr:cNvSpPr txBox="1"/>
      </xdr:nvSpPr>
      <xdr:spPr>
        <a:xfrm>
          <a:off x="967416" y="311107"/>
          <a:ext cx="2791443" cy="392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b="1">
              <a:ln>
                <a:noFill/>
              </a:ln>
            </a:rPr>
            <a:t>Hospital Emergency Room Dashboard </a:t>
          </a:r>
          <a:r>
            <a:rPr lang="en-IN" sz="1100">
              <a:ln>
                <a:noFill/>
              </a:ln>
            </a:rPr>
            <a:t>	</a:t>
          </a:r>
        </a:p>
      </xdr:txBody>
    </xdr:sp>
    <xdr:clientData/>
  </xdr:twoCellAnchor>
  <xdr:twoCellAnchor editAs="oneCell">
    <xdr:from>
      <xdr:col>0</xdr:col>
      <xdr:colOff>0</xdr:colOff>
      <xdr:row>0</xdr:row>
      <xdr:rowOff>59664</xdr:rowOff>
    </xdr:from>
    <xdr:to>
      <xdr:col>1</xdr:col>
      <xdr:colOff>595658</xdr:colOff>
      <xdr:row>3</xdr:row>
      <xdr:rowOff>178993</xdr:rowOff>
    </xdr:to>
    <xdr:pic>
      <xdr:nvPicPr>
        <xdr:cNvPr id="28" name="Picture 27">
          <a:extLst>
            <a:ext uri="{FF2B5EF4-FFF2-40B4-BE49-F238E27FC236}">
              <a16:creationId xmlns:a16="http://schemas.microsoft.com/office/drawing/2014/main" id="{704088D2-5C68-4763-B43E-C28EBA3D5F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9664"/>
          <a:ext cx="1205088" cy="669094"/>
        </a:xfrm>
        <a:prstGeom prst="rect">
          <a:avLst/>
        </a:prstGeom>
      </xdr:spPr>
    </xdr:pic>
    <xdr:clientData/>
  </xdr:twoCellAnchor>
  <xdr:twoCellAnchor editAs="absolute">
    <xdr:from>
      <xdr:col>1</xdr:col>
      <xdr:colOff>478763</xdr:colOff>
      <xdr:row>5</xdr:row>
      <xdr:rowOff>68104</xdr:rowOff>
    </xdr:from>
    <xdr:to>
      <xdr:col>3</xdr:col>
      <xdr:colOff>217349</xdr:colOff>
      <xdr:row>6</xdr:row>
      <xdr:rowOff>85237</xdr:rowOff>
    </xdr:to>
    <xdr:sp macro="" textlink="">
      <xdr:nvSpPr>
        <xdr:cNvPr id="31" name="TextBox 30">
          <a:extLst>
            <a:ext uri="{FF2B5EF4-FFF2-40B4-BE49-F238E27FC236}">
              <a16:creationId xmlns:a16="http://schemas.microsoft.com/office/drawing/2014/main" id="{1005A990-36F7-4AE0-AA53-1EEAFECE1061}"/>
            </a:ext>
          </a:extLst>
        </xdr:cNvPr>
        <xdr:cNvSpPr txBox="1"/>
      </xdr:nvSpPr>
      <xdr:spPr>
        <a:xfrm>
          <a:off x="1088193" y="984379"/>
          <a:ext cx="957445" cy="200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ln>
                <a:noFill/>
              </a:ln>
            </a:rPr>
            <a:t>No</a:t>
          </a:r>
          <a:r>
            <a:rPr lang="en-IN" sz="900" baseline="0">
              <a:ln>
                <a:noFill/>
              </a:ln>
            </a:rPr>
            <a:t>. of Patient</a:t>
          </a:r>
          <a:endParaRPr lang="en-IN" sz="900">
            <a:ln>
              <a:noFill/>
            </a:ln>
          </a:endParaRPr>
        </a:p>
      </xdr:txBody>
    </xdr:sp>
    <xdr:clientData/>
  </xdr:twoCellAnchor>
  <xdr:twoCellAnchor editAs="absolute">
    <xdr:from>
      <xdr:col>1</xdr:col>
      <xdr:colOff>465979</xdr:colOff>
      <xdr:row>4</xdr:row>
      <xdr:rowOff>93673</xdr:rowOff>
    </xdr:from>
    <xdr:to>
      <xdr:col>3</xdr:col>
      <xdr:colOff>204565</xdr:colOff>
      <xdr:row>5</xdr:row>
      <xdr:rowOff>110806</xdr:rowOff>
    </xdr:to>
    <xdr:sp macro="" textlink="'Pivot report'!A4">
      <xdr:nvSpPr>
        <xdr:cNvPr id="35" name="TextBox 34">
          <a:extLst>
            <a:ext uri="{FF2B5EF4-FFF2-40B4-BE49-F238E27FC236}">
              <a16:creationId xmlns:a16="http://schemas.microsoft.com/office/drawing/2014/main" id="{1D885075-B340-42C6-BF0E-0FC0C47EA19F}"/>
            </a:ext>
          </a:extLst>
        </xdr:cNvPr>
        <xdr:cNvSpPr txBox="1"/>
      </xdr:nvSpPr>
      <xdr:spPr>
        <a:xfrm>
          <a:off x="1075409" y="826693"/>
          <a:ext cx="957445" cy="200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A92FE75-B5B8-4313-8C8A-D24615895A4B}" type="TxLink">
            <a:rPr lang="en-US" sz="1100" b="0" i="0" u="none" strike="noStrike">
              <a:ln>
                <a:noFill/>
              </a:ln>
              <a:solidFill>
                <a:srgbClr val="000000"/>
              </a:solidFill>
              <a:latin typeface="Calibri"/>
              <a:ea typeface="Calibri"/>
              <a:cs typeface="Calibri"/>
            </a:rPr>
            <a:pPr algn="ctr"/>
            <a:t>513</a:t>
          </a:fld>
          <a:endParaRPr lang="en-IN" sz="900">
            <a:ln>
              <a:noFill/>
            </a:ln>
          </a:endParaRPr>
        </a:p>
      </xdr:txBody>
    </xdr:sp>
    <xdr:clientData/>
  </xdr:twoCellAnchor>
  <xdr:twoCellAnchor editAs="absolute">
    <xdr:from>
      <xdr:col>3</xdr:col>
      <xdr:colOff>299770</xdr:colOff>
      <xdr:row>5</xdr:row>
      <xdr:rowOff>80889</xdr:rowOff>
    </xdr:from>
    <xdr:to>
      <xdr:col>5</xdr:col>
      <xdr:colOff>38356</xdr:colOff>
      <xdr:row>6</xdr:row>
      <xdr:rowOff>98022</xdr:rowOff>
    </xdr:to>
    <xdr:sp macro="" textlink="">
      <xdr:nvSpPr>
        <xdr:cNvPr id="36" name="TextBox 35">
          <a:extLst>
            <a:ext uri="{FF2B5EF4-FFF2-40B4-BE49-F238E27FC236}">
              <a16:creationId xmlns:a16="http://schemas.microsoft.com/office/drawing/2014/main" id="{A4596E38-D0AE-02F8-DC89-C42FB98AA1E9}"/>
            </a:ext>
          </a:extLst>
        </xdr:cNvPr>
        <xdr:cNvSpPr txBox="1"/>
      </xdr:nvSpPr>
      <xdr:spPr>
        <a:xfrm>
          <a:off x="2128059" y="997164"/>
          <a:ext cx="957445" cy="200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ln>
                <a:noFill/>
              </a:ln>
            </a:rPr>
            <a:t>Average</a:t>
          </a:r>
          <a:r>
            <a:rPr lang="en-IN" sz="900" baseline="0">
              <a:ln>
                <a:noFill/>
              </a:ln>
            </a:rPr>
            <a:t> Wait Time</a:t>
          </a:r>
          <a:endParaRPr lang="en-IN" sz="900">
            <a:ln>
              <a:noFill/>
            </a:ln>
          </a:endParaRPr>
        </a:p>
      </xdr:txBody>
    </xdr:sp>
    <xdr:clientData/>
  </xdr:twoCellAnchor>
  <xdr:twoCellAnchor editAs="absolute">
    <xdr:from>
      <xdr:col>3</xdr:col>
      <xdr:colOff>333865</xdr:colOff>
      <xdr:row>4</xdr:row>
      <xdr:rowOff>110720</xdr:rowOff>
    </xdr:from>
    <xdr:to>
      <xdr:col>5</xdr:col>
      <xdr:colOff>72451</xdr:colOff>
      <xdr:row>5</xdr:row>
      <xdr:rowOff>127853</xdr:rowOff>
    </xdr:to>
    <xdr:sp macro="" textlink="'Pivot report'!A9">
      <xdr:nvSpPr>
        <xdr:cNvPr id="37" name="TextBox 36">
          <a:extLst>
            <a:ext uri="{FF2B5EF4-FFF2-40B4-BE49-F238E27FC236}">
              <a16:creationId xmlns:a16="http://schemas.microsoft.com/office/drawing/2014/main" id="{1B0E5126-6170-3ADC-C1DC-541208A9B08D}"/>
            </a:ext>
          </a:extLst>
        </xdr:cNvPr>
        <xdr:cNvSpPr txBox="1"/>
      </xdr:nvSpPr>
      <xdr:spPr>
        <a:xfrm>
          <a:off x="2162154" y="843740"/>
          <a:ext cx="957445" cy="200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D7A5836-07CF-4199-8D83-6A79E9144914}" type="TxLink">
            <a:rPr lang="en-US" sz="1100" b="0" i="0" u="none" strike="noStrike">
              <a:ln>
                <a:noFill/>
              </a:ln>
              <a:solidFill>
                <a:srgbClr val="000000"/>
              </a:solidFill>
              <a:latin typeface="Calibri"/>
              <a:ea typeface="Calibri"/>
              <a:cs typeface="Calibri"/>
            </a:rPr>
            <a:pPr algn="ctr"/>
            <a:t>36.32</a:t>
          </a:fld>
          <a:endParaRPr lang="en-IN" sz="900">
            <a:ln>
              <a:noFill/>
            </a:ln>
          </a:endParaRPr>
        </a:p>
      </xdr:txBody>
    </xdr:sp>
    <xdr:clientData/>
  </xdr:twoCellAnchor>
  <xdr:twoCellAnchor editAs="absolute">
    <xdr:from>
      <xdr:col>5</xdr:col>
      <xdr:colOff>144899</xdr:colOff>
      <xdr:row>5</xdr:row>
      <xdr:rowOff>72365</xdr:rowOff>
    </xdr:from>
    <xdr:to>
      <xdr:col>7</xdr:col>
      <xdr:colOff>123590</xdr:colOff>
      <xdr:row>6</xdr:row>
      <xdr:rowOff>89498</xdr:rowOff>
    </xdr:to>
    <xdr:sp macro="" textlink="">
      <xdr:nvSpPr>
        <xdr:cNvPr id="38" name="TextBox 37">
          <a:extLst>
            <a:ext uri="{FF2B5EF4-FFF2-40B4-BE49-F238E27FC236}">
              <a16:creationId xmlns:a16="http://schemas.microsoft.com/office/drawing/2014/main" id="{43391FF6-CCE3-27ED-3774-2561A150F688}"/>
            </a:ext>
          </a:extLst>
        </xdr:cNvPr>
        <xdr:cNvSpPr txBox="1"/>
      </xdr:nvSpPr>
      <xdr:spPr>
        <a:xfrm>
          <a:off x="3192047" y="988640"/>
          <a:ext cx="1197550" cy="200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ln>
                <a:noFill/>
              </a:ln>
            </a:rPr>
            <a:t>Patient Satisfaction Score</a:t>
          </a:r>
        </a:p>
      </xdr:txBody>
    </xdr:sp>
    <xdr:clientData/>
  </xdr:twoCellAnchor>
  <xdr:twoCellAnchor editAs="absolute">
    <xdr:from>
      <xdr:col>5</xdr:col>
      <xdr:colOff>291247</xdr:colOff>
      <xdr:row>4</xdr:row>
      <xdr:rowOff>68102</xdr:rowOff>
    </xdr:from>
    <xdr:to>
      <xdr:col>7</xdr:col>
      <xdr:colOff>29833</xdr:colOff>
      <xdr:row>5</xdr:row>
      <xdr:rowOff>85235</xdr:rowOff>
    </xdr:to>
    <xdr:sp macro="" textlink="'Pivot report'!A13">
      <xdr:nvSpPr>
        <xdr:cNvPr id="39" name="TextBox 38">
          <a:extLst>
            <a:ext uri="{FF2B5EF4-FFF2-40B4-BE49-F238E27FC236}">
              <a16:creationId xmlns:a16="http://schemas.microsoft.com/office/drawing/2014/main" id="{AD5DD6DE-2BD4-7A8E-D37C-B806A3974365}"/>
            </a:ext>
          </a:extLst>
        </xdr:cNvPr>
        <xdr:cNvSpPr txBox="1"/>
      </xdr:nvSpPr>
      <xdr:spPr>
        <a:xfrm>
          <a:off x="3338395" y="801122"/>
          <a:ext cx="957445" cy="200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0381E1C-2F50-4670-89FE-A894DDB60D02}" type="TxLink">
            <a:rPr lang="en-US" sz="1100" b="0" i="0" u="none" strike="noStrike">
              <a:ln>
                <a:noFill/>
              </a:ln>
              <a:solidFill>
                <a:srgbClr val="000000"/>
              </a:solidFill>
              <a:latin typeface="Calibri"/>
              <a:ea typeface="Calibri"/>
              <a:cs typeface="Calibri"/>
            </a:rPr>
            <a:pPr algn="ctr"/>
            <a:t>4.96</a:t>
          </a:fld>
          <a:endParaRPr lang="en-IN" sz="900">
            <a:ln>
              <a:noFill/>
            </a:ln>
          </a:endParaRPr>
        </a:p>
      </xdr:txBody>
    </xdr:sp>
    <xdr:clientData/>
  </xdr:twoCellAnchor>
  <xdr:twoCellAnchor editAs="oneCell">
    <xdr:from>
      <xdr:col>2</xdr:col>
      <xdr:colOff>566812</xdr:colOff>
      <xdr:row>4</xdr:row>
      <xdr:rowOff>17046</xdr:rowOff>
    </xdr:from>
    <xdr:to>
      <xdr:col>3</xdr:col>
      <xdr:colOff>208826</xdr:colOff>
      <xdr:row>5</xdr:row>
      <xdr:rowOff>85235</xdr:rowOff>
    </xdr:to>
    <xdr:pic>
      <xdr:nvPicPr>
        <xdr:cNvPr id="41" name="Graphic 40" descr="User">
          <a:extLst>
            <a:ext uri="{FF2B5EF4-FFF2-40B4-BE49-F238E27FC236}">
              <a16:creationId xmlns:a16="http://schemas.microsoft.com/office/drawing/2014/main" id="{805C9A85-DFD0-D806-085E-6D6E8941306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85671" y="750066"/>
          <a:ext cx="251444" cy="251444"/>
        </a:xfrm>
        <a:prstGeom prst="rect">
          <a:avLst/>
        </a:prstGeom>
      </xdr:spPr>
    </xdr:pic>
    <xdr:clientData/>
  </xdr:twoCellAnchor>
  <xdr:twoCellAnchor editAs="oneCell">
    <xdr:from>
      <xdr:col>4</xdr:col>
      <xdr:colOff>490101</xdr:colOff>
      <xdr:row>4</xdr:row>
      <xdr:rowOff>51141</xdr:rowOff>
    </xdr:from>
    <xdr:to>
      <xdr:col>5</xdr:col>
      <xdr:colOff>68188</xdr:colOff>
      <xdr:row>5</xdr:row>
      <xdr:rowOff>55403</xdr:rowOff>
    </xdr:to>
    <xdr:pic>
      <xdr:nvPicPr>
        <xdr:cNvPr id="43" name="Graphic 42" descr="Hourglass">
          <a:extLst>
            <a:ext uri="{FF2B5EF4-FFF2-40B4-BE49-F238E27FC236}">
              <a16:creationId xmlns:a16="http://schemas.microsoft.com/office/drawing/2014/main" id="{FA49DD9B-F48F-9091-36CE-C9EBCC6608F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27819" y="784161"/>
          <a:ext cx="187517" cy="187517"/>
        </a:xfrm>
        <a:prstGeom prst="rect">
          <a:avLst/>
        </a:prstGeom>
      </xdr:spPr>
    </xdr:pic>
    <xdr:clientData/>
  </xdr:twoCellAnchor>
  <xdr:twoCellAnchor editAs="oneCell">
    <xdr:from>
      <xdr:col>6</xdr:col>
      <xdr:colOff>512249</xdr:colOff>
      <xdr:row>4</xdr:row>
      <xdr:rowOff>13624</xdr:rowOff>
    </xdr:from>
    <xdr:to>
      <xdr:col>7</xdr:col>
      <xdr:colOff>144900</xdr:colOff>
      <xdr:row>5</xdr:row>
      <xdr:rowOff>72450</xdr:rowOff>
    </xdr:to>
    <xdr:pic>
      <xdr:nvPicPr>
        <xdr:cNvPr id="45" name="Graphic 44" descr="Customer review">
          <a:extLst>
            <a:ext uri="{FF2B5EF4-FFF2-40B4-BE49-F238E27FC236}">
              <a16:creationId xmlns:a16="http://schemas.microsoft.com/office/drawing/2014/main" id="{F178E1FD-4D29-BD23-D141-C6EC822C288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168826" y="746644"/>
          <a:ext cx="242081" cy="242081"/>
        </a:xfrm>
        <a:prstGeom prst="rect">
          <a:avLst/>
        </a:prstGeom>
      </xdr:spPr>
    </xdr:pic>
    <xdr:clientData/>
  </xdr:twoCellAnchor>
  <xdr:twoCellAnchor editAs="oneCell">
    <xdr:from>
      <xdr:col>0</xdr:col>
      <xdr:colOff>153422</xdr:colOff>
      <xdr:row>4</xdr:row>
      <xdr:rowOff>29833</xdr:rowOff>
    </xdr:from>
    <xdr:to>
      <xdr:col>1</xdr:col>
      <xdr:colOff>356992</xdr:colOff>
      <xdr:row>13</xdr:row>
      <xdr:rowOff>72538</xdr:rowOff>
    </xdr:to>
    <mc:AlternateContent xmlns:mc="http://schemas.openxmlformats.org/markup-compatibility/2006" xmlns:a14="http://schemas.microsoft.com/office/drawing/2010/main">
      <mc:Choice Requires="a14">
        <xdr:graphicFrame macro="">
          <xdr:nvGraphicFramePr>
            <xdr:cNvPr id="46" name="Date (Month) 1">
              <a:extLst>
                <a:ext uri="{FF2B5EF4-FFF2-40B4-BE49-F238E27FC236}">
                  <a16:creationId xmlns:a16="http://schemas.microsoft.com/office/drawing/2014/main" id="{71F603D0-3575-4B48-A47C-F7BFD4613BBE}"/>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53422" y="762853"/>
              <a:ext cx="813000" cy="169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383554</xdr:colOff>
      <xdr:row>5</xdr:row>
      <xdr:rowOff>72449</xdr:rowOff>
    </xdr:from>
    <xdr:to>
      <xdr:col>3</xdr:col>
      <xdr:colOff>272751</xdr:colOff>
      <xdr:row>12</xdr:row>
      <xdr:rowOff>42618</xdr:rowOff>
    </xdr:to>
    <xdr:graphicFrame macro="">
      <xdr:nvGraphicFramePr>
        <xdr:cNvPr id="47" name="Chart 46">
          <a:hlinkClick xmlns:r="http://schemas.openxmlformats.org/officeDocument/2006/relationships" r:id="rId8"/>
          <a:extLst>
            <a:ext uri="{FF2B5EF4-FFF2-40B4-BE49-F238E27FC236}">
              <a16:creationId xmlns:a16="http://schemas.microsoft.com/office/drawing/2014/main" id="{C451B636-2451-47E0-BB74-84D539FD3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266700</xdr:colOff>
      <xdr:row>5</xdr:row>
      <xdr:rowOff>131234</xdr:rowOff>
    </xdr:from>
    <xdr:to>
      <xdr:col>5</xdr:col>
      <xdr:colOff>258233</xdr:colOff>
      <xdr:row>8</xdr:row>
      <xdr:rowOff>71968</xdr:rowOff>
    </xdr:to>
    <xdr:graphicFrame macro="">
      <xdr:nvGraphicFramePr>
        <xdr:cNvPr id="11" name="Chart 10">
          <a:hlinkClick xmlns:r="http://schemas.openxmlformats.org/officeDocument/2006/relationships" r:id="rId10"/>
          <a:extLst>
            <a:ext uri="{FF2B5EF4-FFF2-40B4-BE49-F238E27FC236}">
              <a16:creationId xmlns:a16="http://schemas.microsoft.com/office/drawing/2014/main" id="{6ED1552C-CA2E-4B6E-9540-FEDEFBB4C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588432</xdr:colOff>
      <xdr:row>3</xdr:row>
      <xdr:rowOff>93134</xdr:rowOff>
    </xdr:from>
    <xdr:to>
      <xdr:col>7</xdr:col>
      <xdr:colOff>283634</xdr:colOff>
      <xdr:row>8</xdr:row>
      <xdr:rowOff>88901</xdr:rowOff>
    </xdr:to>
    <xdr:graphicFrame macro="">
      <xdr:nvGraphicFramePr>
        <xdr:cNvPr id="12" name="Chart 11">
          <a:hlinkClick xmlns:r="http://schemas.openxmlformats.org/officeDocument/2006/relationships" r:id="rId12"/>
          <a:extLst>
            <a:ext uri="{FF2B5EF4-FFF2-40B4-BE49-F238E27FC236}">
              <a16:creationId xmlns:a16="http://schemas.microsoft.com/office/drawing/2014/main" id="{DA0A9C23-76FC-4CCE-A608-A203C37C9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402165</xdr:colOff>
          <xdr:row>8</xdr:row>
          <xdr:rowOff>8468</xdr:rowOff>
        </xdr:from>
        <xdr:to>
          <xdr:col>7</xdr:col>
          <xdr:colOff>182033</xdr:colOff>
          <xdr:row>9</xdr:row>
          <xdr:rowOff>122767</xdr:rowOff>
        </xdr:to>
        <xdr:pic>
          <xdr:nvPicPr>
            <xdr:cNvPr id="21" name="Picture 20">
              <a:extLst>
                <a:ext uri="{FF2B5EF4-FFF2-40B4-BE49-F238E27FC236}">
                  <a16:creationId xmlns:a16="http://schemas.microsoft.com/office/drawing/2014/main" id="{76A081AC-CA9D-C447-5904-F0BB2425E070}"/>
                </a:ext>
              </a:extLst>
            </xdr:cNvPr>
            <xdr:cNvPicPr>
              <a:picLocks noChangeAspect="1" noChangeArrowheads="1"/>
              <a:extLst>
                <a:ext uri="{84589F7E-364E-4C9E-8A38-B11213B215E9}">
                  <a14:cameraTool cellRange="'Pivot report'!$A$48:$D$50" spid="_x0000_s2067"/>
                </a:ext>
              </a:extLst>
            </xdr:cNvPicPr>
          </xdr:nvPicPr>
          <xdr:blipFill>
            <a:blip xmlns:r="http://schemas.openxmlformats.org/officeDocument/2006/relationships" r:embed="rId14"/>
            <a:srcRect/>
            <a:stretch>
              <a:fillRect/>
            </a:stretch>
          </xdr:blipFill>
          <xdr:spPr bwMode="auto">
            <a:xfrm>
              <a:off x="1011765" y="1498601"/>
              <a:ext cx="3437468" cy="30056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393700</xdr:colOff>
      <xdr:row>9</xdr:row>
      <xdr:rowOff>156633</xdr:rowOff>
    </xdr:from>
    <xdr:to>
      <xdr:col>7</xdr:col>
      <xdr:colOff>169333</xdr:colOff>
      <xdr:row>13</xdr:row>
      <xdr:rowOff>131234</xdr:rowOff>
    </xdr:to>
    <xdr:graphicFrame macro="">
      <xdr:nvGraphicFramePr>
        <xdr:cNvPr id="22" name="Chart 21">
          <a:extLst>
            <a:ext uri="{FF2B5EF4-FFF2-40B4-BE49-F238E27FC236}">
              <a16:creationId xmlns:a16="http://schemas.microsoft.com/office/drawing/2014/main" id="{55DDF26F-7739-40BE-BF71-78CCC6582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182033</xdr:colOff>
      <xdr:row>0</xdr:row>
      <xdr:rowOff>33865</xdr:rowOff>
    </xdr:from>
    <xdr:to>
      <xdr:col>9</xdr:col>
      <xdr:colOff>224367</xdr:colOff>
      <xdr:row>6</xdr:row>
      <xdr:rowOff>76199</xdr:rowOff>
    </xdr:to>
    <xdr:graphicFrame macro="">
      <xdr:nvGraphicFramePr>
        <xdr:cNvPr id="16" name="Chart 15">
          <a:extLst>
            <a:ext uri="{FF2B5EF4-FFF2-40B4-BE49-F238E27FC236}">
              <a16:creationId xmlns:a16="http://schemas.microsoft.com/office/drawing/2014/main" id="{41F84EA0-AECC-4651-B8E7-A0A184A2E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279400</xdr:colOff>
      <xdr:row>6</xdr:row>
      <xdr:rowOff>88900</xdr:rowOff>
    </xdr:from>
    <xdr:to>
      <xdr:col>10</xdr:col>
      <xdr:colOff>139700</xdr:colOff>
      <xdr:row>6</xdr:row>
      <xdr:rowOff>134619</xdr:rowOff>
    </xdr:to>
    <xdr:sp macro="" textlink="">
      <xdr:nvSpPr>
        <xdr:cNvPr id="20" name="TextBox 8">
          <a:extLst>
            <a:ext uri="{FF2B5EF4-FFF2-40B4-BE49-F238E27FC236}">
              <a16:creationId xmlns:a16="http://schemas.microsoft.com/office/drawing/2014/main" id="{282EB078-426D-CDB5-7FB5-B9473B622E62}"/>
            </a:ext>
          </a:extLst>
        </xdr:cNvPr>
        <xdr:cNvSpPr txBox="1"/>
      </xdr:nvSpPr>
      <xdr:spPr>
        <a:xfrm>
          <a:off x="4546600" y="1206500"/>
          <a:ext cx="1689100" cy="45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IN" sz="800"/>
            <a:t>Patient Attend Status</a:t>
          </a:r>
        </a:p>
      </xdr:txBody>
    </xdr:sp>
    <xdr:clientData/>
  </xdr:twoCellAnchor>
  <xdr:twoCellAnchor>
    <xdr:from>
      <xdr:col>8</xdr:col>
      <xdr:colOff>152401</xdr:colOff>
      <xdr:row>0</xdr:row>
      <xdr:rowOff>12701</xdr:rowOff>
    </xdr:from>
    <xdr:to>
      <xdr:col>12</xdr:col>
      <xdr:colOff>567268</xdr:colOff>
      <xdr:row>7</xdr:row>
      <xdr:rowOff>16933</xdr:rowOff>
    </xdr:to>
    <xdr:graphicFrame macro="">
      <xdr:nvGraphicFramePr>
        <xdr:cNvPr id="13" name="Chart 12">
          <a:extLst>
            <a:ext uri="{FF2B5EF4-FFF2-40B4-BE49-F238E27FC236}">
              <a16:creationId xmlns:a16="http://schemas.microsoft.com/office/drawing/2014/main" id="{01D96EF6-F997-4A1A-9657-4D6966487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306362</xdr:colOff>
      <xdr:row>6</xdr:row>
      <xdr:rowOff>101714</xdr:rowOff>
    </xdr:from>
    <xdr:to>
      <xdr:col>12</xdr:col>
      <xdr:colOff>166662</xdr:colOff>
      <xdr:row>6</xdr:row>
      <xdr:rowOff>147433</xdr:rowOff>
    </xdr:to>
    <xdr:sp macro="" textlink="">
      <xdr:nvSpPr>
        <xdr:cNvPr id="15" name="TextBox 8">
          <a:extLst>
            <a:ext uri="{FF2B5EF4-FFF2-40B4-BE49-F238E27FC236}">
              <a16:creationId xmlns:a16="http://schemas.microsoft.com/office/drawing/2014/main" id="{5EACCCD0-7ECF-43BE-9850-727D40D3FD96}"/>
            </a:ext>
          </a:extLst>
        </xdr:cNvPr>
        <xdr:cNvSpPr txBox="1"/>
      </xdr:nvSpPr>
      <xdr:spPr>
        <a:xfrm>
          <a:off x="5792762" y="1219314"/>
          <a:ext cx="1689100" cy="45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IN" sz="800"/>
            <a:t>Gender wise Analysis</a:t>
          </a:r>
        </a:p>
      </xdr:txBody>
    </xdr:sp>
    <xdr:clientData/>
  </xdr:twoCellAnchor>
  <xdr:twoCellAnchor>
    <xdr:from>
      <xdr:col>7</xdr:col>
      <xdr:colOff>254000</xdr:colOff>
      <xdr:row>8</xdr:row>
      <xdr:rowOff>38100</xdr:rowOff>
    </xdr:from>
    <xdr:to>
      <xdr:col>11</xdr:col>
      <xdr:colOff>317499</xdr:colOff>
      <xdr:row>12</xdr:row>
      <xdr:rowOff>143933</xdr:rowOff>
    </xdr:to>
    <xdr:graphicFrame macro="">
      <xdr:nvGraphicFramePr>
        <xdr:cNvPr id="23" name="Chart 22">
          <a:extLst>
            <a:ext uri="{FF2B5EF4-FFF2-40B4-BE49-F238E27FC236}">
              <a16:creationId xmlns:a16="http://schemas.microsoft.com/office/drawing/2014/main" id="{E45F0997-041C-4020-B9BD-006F7DCE2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25400</xdr:colOff>
      <xdr:row>12</xdr:row>
      <xdr:rowOff>93248</xdr:rowOff>
    </xdr:from>
    <xdr:to>
      <xdr:col>11</xdr:col>
      <xdr:colOff>73546</xdr:colOff>
      <xdr:row>12</xdr:row>
      <xdr:rowOff>165100</xdr:rowOff>
    </xdr:to>
    <xdr:sp macro="" textlink="">
      <xdr:nvSpPr>
        <xdr:cNvPr id="24" name="TextBox 8">
          <a:extLst>
            <a:ext uri="{FF2B5EF4-FFF2-40B4-BE49-F238E27FC236}">
              <a16:creationId xmlns:a16="http://schemas.microsoft.com/office/drawing/2014/main" id="{EEF0241D-AA18-5771-1A8D-F17F9951C3BC}"/>
            </a:ext>
          </a:extLst>
        </xdr:cNvPr>
        <xdr:cNvSpPr txBox="1"/>
      </xdr:nvSpPr>
      <xdr:spPr>
        <a:xfrm>
          <a:off x="4902200" y="2328448"/>
          <a:ext cx="1876946" cy="71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IN" sz="800"/>
            <a:t>No of Patients by Department</a:t>
          </a:r>
          <a:r>
            <a:rPr lang="en-IN" sz="800" baseline="0"/>
            <a:t> Referal</a:t>
          </a:r>
          <a:endParaRPr lang="en-IN" sz="800"/>
        </a:p>
      </xdr:txBody>
    </xdr:sp>
    <xdr:clientData/>
  </xdr:twoCellAnchor>
  <xdr:twoCellAnchor editAs="oneCell">
    <xdr:from>
      <xdr:col>5</xdr:col>
      <xdr:colOff>355601</xdr:colOff>
      <xdr:row>0</xdr:row>
      <xdr:rowOff>63501</xdr:rowOff>
    </xdr:from>
    <xdr:to>
      <xdr:col>7</xdr:col>
      <xdr:colOff>114301</xdr:colOff>
      <xdr:row>3</xdr:row>
      <xdr:rowOff>131235</xdr:rowOff>
    </xdr:to>
    <mc:AlternateContent xmlns:mc="http://schemas.openxmlformats.org/markup-compatibility/2006">
      <mc:Choice xmlns:a14="http://schemas.microsoft.com/office/drawing/2010/main" Requires="a14">
        <xdr:graphicFrame macro="">
          <xdr:nvGraphicFramePr>
            <xdr:cNvPr id="27" name="Year 1">
              <a:extLst>
                <a:ext uri="{FF2B5EF4-FFF2-40B4-BE49-F238E27FC236}">
                  <a16:creationId xmlns:a16="http://schemas.microsoft.com/office/drawing/2014/main" id="{3ACA8249-80AE-4401-B276-2ED4E7FC9C0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3394530" y="63501"/>
              <a:ext cx="974271" cy="6256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0.26387</cdr:x>
      <cdr:y>0.80118</cdr:y>
    </cdr:from>
    <cdr:to>
      <cdr:x>0.75586</cdr:x>
      <cdr:y>0.86471</cdr:y>
    </cdr:to>
    <cdr:sp macro="" textlink="">
      <cdr:nvSpPr>
        <cdr:cNvPr id="2" name="TextBox 8">
          <a:extLst xmlns:a="http://schemas.openxmlformats.org/drawingml/2006/main">
            <a:ext uri="{FF2B5EF4-FFF2-40B4-BE49-F238E27FC236}">
              <a16:creationId xmlns:a16="http://schemas.microsoft.com/office/drawing/2014/main" id="{73C67CA1-B794-C224-CCE2-D8333E337CFA}"/>
            </a:ext>
          </a:extLst>
        </cdr:cNvPr>
        <cdr:cNvSpPr txBox="1"/>
      </cdr:nvSpPr>
      <cdr:spPr>
        <a:xfrm xmlns:a="http://schemas.openxmlformats.org/drawingml/2006/main">
          <a:off x="905934" y="576582"/>
          <a:ext cx="1689100" cy="4571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800"/>
            <a:t>No of Patients by Age Group</a:t>
          </a: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20</xdr:col>
      <xdr:colOff>330200</xdr:colOff>
      <xdr:row>1</xdr:row>
      <xdr:rowOff>6350</xdr:rowOff>
    </xdr:from>
    <xdr:to>
      <xdr:col>23</xdr:col>
      <xdr:colOff>44450</xdr:colOff>
      <xdr:row>14</xdr:row>
      <xdr:rowOff>136525</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AD6CB67D-7D31-3AE8-499D-CB6A42BFA8BB}"/>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8726150" y="190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298450</xdr:colOff>
      <xdr:row>1</xdr:row>
      <xdr:rowOff>6350</xdr:rowOff>
    </xdr:from>
    <xdr:to>
      <xdr:col>20</xdr:col>
      <xdr:colOff>228600</xdr:colOff>
      <xdr:row>9</xdr:row>
      <xdr:rowOff>69850</xdr:rowOff>
    </xdr:to>
    <xdr:graphicFrame macro="">
      <xdr:nvGraphicFramePr>
        <xdr:cNvPr id="4" name="Chart 3">
          <a:extLst>
            <a:ext uri="{FF2B5EF4-FFF2-40B4-BE49-F238E27FC236}">
              <a16:creationId xmlns:a16="http://schemas.microsoft.com/office/drawing/2014/main" id="{80554B55-0ECF-D95C-E687-A3B83CEE98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152400</xdr:colOff>
      <xdr:row>10</xdr:row>
      <xdr:rowOff>25400</xdr:rowOff>
    </xdr:from>
    <xdr:to>
      <xdr:col>20</xdr:col>
      <xdr:colOff>361950</xdr:colOff>
      <xdr:row>20</xdr:row>
      <xdr:rowOff>88900</xdr:rowOff>
    </xdr:to>
    <xdr:graphicFrame macro="">
      <xdr:nvGraphicFramePr>
        <xdr:cNvPr id="3" name="Chart 2">
          <a:extLst>
            <a:ext uri="{FF2B5EF4-FFF2-40B4-BE49-F238E27FC236}">
              <a16:creationId xmlns:a16="http://schemas.microsoft.com/office/drawing/2014/main" id="{35C67740-CBF2-7598-6BE5-313A7691B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508000</xdr:colOff>
      <xdr:row>0</xdr:row>
      <xdr:rowOff>120650</xdr:rowOff>
    </xdr:from>
    <xdr:to>
      <xdr:col>31</xdr:col>
      <xdr:colOff>203200</xdr:colOff>
      <xdr:row>15</xdr:row>
      <xdr:rowOff>101600</xdr:rowOff>
    </xdr:to>
    <xdr:graphicFrame macro="">
      <xdr:nvGraphicFramePr>
        <xdr:cNvPr id="5" name="Chart 4">
          <a:extLst>
            <a:ext uri="{FF2B5EF4-FFF2-40B4-BE49-F238E27FC236}">
              <a16:creationId xmlns:a16="http://schemas.microsoft.com/office/drawing/2014/main" id="{54875105-4DB2-7F9E-8D62-DF7DA99FE9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196850</xdr:colOff>
      <xdr:row>38</xdr:row>
      <xdr:rowOff>165100</xdr:rowOff>
    </xdr:from>
    <xdr:to>
      <xdr:col>10</xdr:col>
      <xdr:colOff>330200</xdr:colOff>
      <xdr:row>50</xdr:row>
      <xdr:rowOff>31750</xdr:rowOff>
    </xdr:to>
    <xdr:graphicFrame macro="">
      <xdr:nvGraphicFramePr>
        <xdr:cNvPr id="6" name="Chart 5">
          <a:extLst>
            <a:ext uri="{FF2B5EF4-FFF2-40B4-BE49-F238E27FC236}">
              <a16:creationId xmlns:a16="http://schemas.microsoft.com/office/drawing/2014/main" id="{4E2BAFA5-53B2-E770-524A-F55D9A9330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xdr:colOff>
      <xdr:row>47</xdr:row>
      <xdr:rowOff>82551</xdr:rowOff>
    </xdr:from>
    <xdr:to>
      <xdr:col>3</xdr:col>
      <xdr:colOff>1657350</xdr:colOff>
      <xdr:row>50</xdr:row>
      <xdr:rowOff>120650</xdr:rowOff>
    </xdr:to>
    <xdr:graphicFrame macro="">
      <xdr:nvGraphicFramePr>
        <xdr:cNvPr id="7" name="Chart 6">
          <a:extLst>
            <a:ext uri="{FF2B5EF4-FFF2-40B4-BE49-F238E27FC236}">
              <a16:creationId xmlns:a16="http://schemas.microsoft.com/office/drawing/2014/main" id="{A8F62E43-86D2-4244-9150-D2319F60F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577850</xdr:colOff>
      <xdr:row>50</xdr:row>
      <xdr:rowOff>171450</xdr:rowOff>
    </xdr:from>
    <xdr:to>
      <xdr:col>6</xdr:col>
      <xdr:colOff>374650</xdr:colOff>
      <xdr:row>65</xdr:row>
      <xdr:rowOff>152400</xdr:rowOff>
    </xdr:to>
    <xdr:graphicFrame macro="">
      <xdr:nvGraphicFramePr>
        <xdr:cNvPr id="8" name="Chart 7">
          <a:extLst>
            <a:ext uri="{FF2B5EF4-FFF2-40B4-BE49-F238E27FC236}">
              <a16:creationId xmlns:a16="http://schemas.microsoft.com/office/drawing/2014/main" id="{7EE2C1B0-E3C6-190C-5D2B-1ACAC56B6E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1422400</xdr:colOff>
      <xdr:row>55</xdr:row>
      <xdr:rowOff>25400</xdr:rowOff>
    </xdr:from>
    <xdr:to>
      <xdr:col>9</xdr:col>
      <xdr:colOff>438150</xdr:colOff>
      <xdr:row>56</xdr:row>
      <xdr:rowOff>107950</xdr:rowOff>
    </xdr:to>
    <xdr:sp macro="" textlink="">
      <xdr:nvSpPr>
        <xdr:cNvPr id="9" name="TextBox 8">
          <a:extLst>
            <a:ext uri="{FF2B5EF4-FFF2-40B4-BE49-F238E27FC236}">
              <a16:creationId xmlns:a16="http://schemas.microsoft.com/office/drawing/2014/main" id="{73C67CA1-B794-C224-CCE2-D8333E337CFA}"/>
            </a:ext>
          </a:extLst>
        </xdr:cNvPr>
        <xdr:cNvSpPr txBox="1"/>
      </xdr:nvSpPr>
      <xdr:spPr>
        <a:xfrm>
          <a:off x="8286750" y="10153650"/>
          <a:ext cx="19685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 of Patients by Age Group</a:t>
          </a:r>
        </a:p>
      </xdr:txBody>
    </xdr:sp>
    <xdr:clientData/>
  </xdr:twoCellAnchor>
  <xdr:twoCellAnchor>
    <xdr:from>
      <xdr:col>3</xdr:col>
      <xdr:colOff>1085850</xdr:colOff>
      <xdr:row>67</xdr:row>
      <xdr:rowOff>31750</xdr:rowOff>
    </xdr:from>
    <xdr:to>
      <xdr:col>7</xdr:col>
      <xdr:colOff>165100</xdr:colOff>
      <xdr:row>77</xdr:row>
      <xdr:rowOff>120650</xdr:rowOff>
    </xdr:to>
    <xdr:graphicFrame macro="">
      <xdr:nvGraphicFramePr>
        <xdr:cNvPr id="10" name="Chart 9">
          <a:extLst>
            <a:ext uri="{FF2B5EF4-FFF2-40B4-BE49-F238E27FC236}">
              <a16:creationId xmlns:a16="http://schemas.microsoft.com/office/drawing/2014/main" id="{9F6C3CA9-4507-FBC7-15BC-3C2EFD5E24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371475</xdr:colOff>
      <xdr:row>84</xdr:row>
      <xdr:rowOff>6350</xdr:rowOff>
    </xdr:from>
    <xdr:to>
      <xdr:col>5</xdr:col>
      <xdr:colOff>190500</xdr:colOff>
      <xdr:row>92</xdr:row>
      <xdr:rowOff>25400</xdr:rowOff>
    </xdr:to>
    <xdr:graphicFrame macro="">
      <xdr:nvGraphicFramePr>
        <xdr:cNvPr id="11" name="Chart 10">
          <a:extLst>
            <a:ext uri="{FF2B5EF4-FFF2-40B4-BE49-F238E27FC236}">
              <a16:creationId xmlns:a16="http://schemas.microsoft.com/office/drawing/2014/main" id="{3F0FFDDB-B219-613A-536C-8756C7C53F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368300</xdr:colOff>
      <xdr:row>94</xdr:row>
      <xdr:rowOff>50800</xdr:rowOff>
    </xdr:from>
    <xdr:to>
      <xdr:col>5</xdr:col>
      <xdr:colOff>654050</xdr:colOff>
      <xdr:row>109</xdr:row>
      <xdr:rowOff>31750</xdr:rowOff>
    </xdr:to>
    <xdr:graphicFrame macro="">
      <xdr:nvGraphicFramePr>
        <xdr:cNvPr id="12" name="Chart 11">
          <a:extLst>
            <a:ext uri="{FF2B5EF4-FFF2-40B4-BE49-F238E27FC236}">
              <a16:creationId xmlns:a16="http://schemas.microsoft.com/office/drawing/2014/main" id="{34EAD9E9-F0B4-7A66-200A-679832EEB8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19050</xdr:colOff>
      <xdr:row>90</xdr:row>
      <xdr:rowOff>107950</xdr:rowOff>
    </xdr:from>
    <xdr:to>
      <xdr:col>10</xdr:col>
      <xdr:colOff>12700</xdr:colOff>
      <xdr:row>99</xdr:row>
      <xdr:rowOff>133350</xdr:rowOff>
    </xdr:to>
    <xdr:graphicFrame macro="">
      <xdr:nvGraphicFramePr>
        <xdr:cNvPr id="13" name="Chart 12">
          <a:extLst>
            <a:ext uri="{FF2B5EF4-FFF2-40B4-BE49-F238E27FC236}">
              <a16:creationId xmlns:a16="http://schemas.microsoft.com/office/drawing/2014/main" id="{A4C3BD82-33B4-4F2D-8056-6F3617672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317500</xdr:colOff>
      <xdr:row>113</xdr:row>
      <xdr:rowOff>127001</xdr:rowOff>
    </xdr:from>
    <xdr:to>
      <xdr:col>3</xdr:col>
      <xdr:colOff>266700</xdr:colOff>
      <xdr:row>121</xdr:row>
      <xdr:rowOff>146051</xdr:rowOff>
    </xdr:to>
    <mc:AlternateContent xmlns:mc="http://schemas.openxmlformats.org/markup-compatibility/2006">
      <mc:Choice xmlns:a14="http://schemas.microsoft.com/office/drawing/2010/main" Requires="a14">
        <xdr:graphicFrame macro="">
          <xdr:nvGraphicFramePr>
            <xdr:cNvPr id="15" name="Year">
              <a:extLst>
                <a:ext uri="{FF2B5EF4-FFF2-40B4-BE49-F238E27FC236}">
                  <a16:creationId xmlns:a16="http://schemas.microsoft.com/office/drawing/2014/main" id="{5CB3DBD6-B3C7-20E3-1035-C1087192629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016250" y="20935951"/>
              <a:ext cx="1905000" cy="1492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177800</xdr:colOff>
      <xdr:row>0</xdr:row>
      <xdr:rowOff>165100</xdr:rowOff>
    </xdr:from>
    <xdr:to>
      <xdr:col>18</xdr:col>
      <xdr:colOff>330200</xdr:colOff>
      <xdr:row>20</xdr:row>
      <xdr:rowOff>50800</xdr:rowOff>
    </xdr:to>
    <xdr:graphicFrame macro="">
      <xdr:nvGraphicFramePr>
        <xdr:cNvPr id="2" name="Chart 1">
          <a:extLst>
            <a:ext uri="{FF2B5EF4-FFF2-40B4-BE49-F238E27FC236}">
              <a16:creationId xmlns:a16="http://schemas.microsoft.com/office/drawing/2014/main" id="{D2DA40F3-D5F2-45C5-8BF0-83A6F9927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0.00176</cdr:x>
      <cdr:y>0.00534</cdr:y>
    </cdr:from>
    <cdr:to>
      <cdr:x>0.04048</cdr:x>
      <cdr:y>0.1226</cdr:y>
    </cdr:to>
    <cdr:pic>
      <cdr:nvPicPr>
        <cdr:cNvPr id="2" name="Graphic 1"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73842D5-6A27-1EEF-F35D-12529907AEB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9607" y="19050"/>
          <a:ext cx="430686" cy="418464"/>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228600</xdr:colOff>
      <xdr:row>0</xdr:row>
      <xdr:rowOff>171450</xdr:rowOff>
    </xdr:from>
    <xdr:to>
      <xdr:col>18</xdr:col>
      <xdr:colOff>476250</xdr:colOff>
      <xdr:row>20</xdr:row>
      <xdr:rowOff>82550</xdr:rowOff>
    </xdr:to>
    <xdr:graphicFrame macro="">
      <xdr:nvGraphicFramePr>
        <xdr:cNvPr id="3" name="Chart 2">
          <a:extLst>
            <a:ext uri="{FF2B5EF4-FFF2-40B4-BE49-F238E27FC236}">
              <a16:creationId xmlns:a16="http://schemas.microsoft.com/office/drawing/2014/main" id="{BBFA1158-2B1F-46B2-B50A-31574CAC0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cdr:x>
      <cdr:y>2.78234E-7</cdr:y>
    </cdr:from>
    <cdr:to>
      <cdr:x>0.03848</cdr:x>
      <cdr:y>0.11681</cdr:y>
    </cdr:to>
    <cdr:pic>
      <cdr:nvPicPr>
        <cdr:cNvPr id="4" name="Graphic 1"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0E3F90B-54D8-4368-09B6-E56ECA49D35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1"/>
          <a:ext cx="431800" cy="419810"/>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114300</xdr:colOff>
      <xdr:row>1</xdr:row>
      <xdr:rowOff>76200</xdr:rowOff>
    </xdr:from>
    <xdr:to>
      <xdr:col>19</xdr:col>
      <xdr:colOff>57150</xdr:colOff>
      <xdr:row>20</xdr:row>
      <xdr:rowOff>19050</xdr:rowOff>
    </xdr:to>
    <xdr:graphicFrame macro="">
      <xdr:nvGraphicFramePr>
        <xdr:cNvPr id="3" name="Chart 2">
          <a:extLst>
            <a:ext uri="{FF2B5EF4-FFF2-40B4-BE49-F238E27FC236}">
              <a16:creationId xmlns:a16="http://schemas.microsoft.com/office/drawing/2014/main" id="{90121FFA-6CF4-451E-9FAD-8FACF2803F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cdr:x>
      <cdr:y>0</cdr:y>
    </cdr:from>
    <cdr:to>
      <cdr:x>0.05124</cdr:x>
      <cdr:y>0.17159</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3C3C570-B740-D2F5-8C2F-F8362810EE2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90550" cy="59055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Shadaab" refreshedDate="45963.06394270833" backgroundQuery="1" createdVersion="8" refreshedVersion="8" minRefreshableVersion="3" recordCount="0" supportSubquery="1" supportAdvancedDrill="1" xr:uid="{0260DA92-DA0B-4EED-9A8F-BDE448504410}">
  <cacheSource type="external" connectionId="3"/>
  <cacheFields count="4">
    <cacheField name="[Measures].[Distinct Count of Patient Id]" caption="Distinct Count of Patient Id" numFmtId="0" hierarchy="24" level="32767"/>
    <cacheField name="[Calender_Table].[Date (Day)].[Date (Day)]" caption="Date (Day)" numFmtId="0" hierarchy="3"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2" level="1">
      <sharedItems count="1">
        <s v="Jan"/>
      </sharedItems>
    </cacheField>
    <cacheField name="[Calender_Table].[Year].[Year]" caption="Year" numFmtId="0" hierarchy="1"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fieldsUsage count="2">
        <fieldUsage x="-1"/>
        <fieldUsage x="3"/>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Shadaab" refreshedDate="45963.063943055553" backgroundQuery="1" createdVersion="8" refreshedVersion="8" minRefreshableVersion="3" recordCount="0" supportSubquery="1" supportAdvancedDrill="1" xr:uid="{F62D7571-5B80-4C6B-9A54-5D3AEEE020D3}">
  <cacheSource type="external" connectionId="3"/>
  <cacheFields count="3">
    <cacheField name="[Measures].[Distinct Count of Patient Id]" caption="Distinct Count of Patient Id" numFmtId="0" hierarchy="24" level="32767"/>
    <cacheField name="[Calender_Table].[Date (Month)].[Date (Month)]" caption="Date (Month)" numFmtId="0" hierarchy="2" level="1">
      <sharedItems containsSemiMixedTypes="0" containsNonDate="0" containsString="0"/>
    </cacheField>
    <cacheField name="[Calender_Table].[Year].[Year]" caption="Year" numFmtId="0" hierarchy="1"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fieldsUsage count="2">
        <fieldUsage x="-1"/>
        <fieldUsage x="2"/>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Shadaab" refreshedDate="45963.063943402776" backgroundQuery="1" createdVersion="8" refreshedVersion="8" minRefreshableVersion="3" recordCount="0" supportSubquery="1" supportAdvancedDrill="1" xr:uid="{0859EC53-D03F-42E3-BBF4-F044E30DAAA7}">
  <cacheSource type="external" connectionId="3"/>
  <cacheFields count="3">
    <cacheField name="[Measures].[Average of Patient Waittime]" caption="Average of Patient Waittime" numFmtId="0" hierarchy="26" level="32767"/>
    <cacheField name="[Calender_Table].[Date (Month)].[Date (Month)]" caption="Date (Month)" numFmtId="0" hierarchy="2" level="1">
      <sharedItems containsSemiMixedTypes="0" containsNonDate="0" containsString="0"/>
    </cacheField>
    <cacheField name="[Calender_Table].[Year].[Year]" caption="Year" numFmtId="0" hierarchy="1"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fieldsUsage count="2">
        <fieldUsage x="-1"/>
        <fieldUsage x="2"/>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Shadaab" refreshedDate="45963.063943634261" backgroundQuery="1" createdVersion="8" refreshedVersion="8" minRefreshableVersion="3" recordCount="0" supportSubquery="1" supportAdvancedDrill="1" xr:uid="{2F6710BD-A451-41DF-90CE-F2AF8BC2C167}">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2" level="1">
      <sharedItems containsSemiMixedTypes="0" containsNonDate="0" containsString="0"/>
    </cacheField>
    <cacheField name="[Calender_Table].[Year].[Year]" caption="Year" numFmtId="0" hierarchy="1"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fieldsUsage count="2">
        <fieldUsage x="-1"/>
        <fieldUsage x="2"/>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Shadaab" refreshedDate="45963.063944328707" backgroundQuery="1" createdVersion="8" refreshedVersion="8" minRefreshableVersion="3" recordCount="0" supportSubquery="1" supportAdvancedDrill="1" xr:uid="{C5A982C7-BC9D-4FC4-BACF-7769BD9EEDC0}">
  <cacheSource type="external" connectionId="3"/>
  <cacheFields count="4">
    <cacheField name="[Measures].[Average of Patient Waittime]" caption="Average of Patient Waittime" numFmtId="0" hierarchy="26" level="32767"/>
    <cacheField name="[Calender_Table].[Date (Month)].[Date (Month)]" caption="Date (Month)" numFmtId="0" hierarchy="2" level="1">
      <sharedItems count="1">
        <s v="Jan"/>
      </sharedItems>
    </cacheField>
    <cacheField name="[Calender_Table].[Date (Day)].[Date (Day)]" caption="Date (Day)" numFmtId="0" hierarchy="3"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Year].[Year]" caption="Year" numFmtId="0" hierarchy="1"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fieldsUsage count="2">
        <fieldUsage x="-1"/>
        <fieldUsage x="3"/>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Shadaab" refreshedDate="45963.063945023147" backgroundQuery="1" createdVersion="8" refreshedVersion="8" minRefreshableVersion="3" recordCount="0" supportSubquery="1" supportAdvancedDrill="1" xr:uid="{BFFFC939-9F64-47EC-8C2A-472254AD280F}">
  <cacheSource type="external" connectionId="3"/>
  <cacheFields count="4">
    <cacheField name="[Calender_Table].[Date (Month)].[Date (Month)]" caption="Date (Month)" numFmtId="0" hierarchy="2" level="1">
      <sharedItems containsSemiMixedTypes="0" containsNonDate="0" containsString="0"/>
    </cacheField>
    <cacheField name="[Calender_Table].[Date (Day)].[Date (Day)]" caption="Date (Day)" numFmtId="0" hierarchy="3"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Measures].[Average of Patient Satisfaction Score]" caption="Average of Patient Satisfaction Score" numFmtId="0" hierarchy="28" level="32767"/>
    <cacheField name="[Calender_Table].[Year].[Year]" caption="Year" numFmtId="0" hierarchy="1"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fieldsUsage count="2">
        <fieldUsage x="-1"/>
        <fieldUsage x="3"/>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Shadaab" refreshedDate="45963.063945486108" backgroundQuery="1" createdVersion="8" refreshedVersion="8" minRefreshableVersion="3" recordCount="0" supportSubquery="1" supportAdvancedDrill="1" xr:uid="{2F8CCB93-12F4-4C99-8991-777909F4977D}">
  <cacheSource type="external" connectionId="3"/>
  <cacheFields count="5">
    <cacheField name="[Calender_Table].[Date (Month)].[Date (Month)]" caption="Date (Month)" numFmtId="0" hierarchy="2"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2" level="1">
      <sharedItems count="2">
        <s v="Admitted"/>
        <s v="Not Admitted"/>
      </sharedItems>
    </cacheField>
    <cacheField name="[Calender_Table].[Year].[Year]" caption="Year" numFmtId="0" hierarchy="1" level="1">
      <sharedItems containsSemiMixedTypes="0" containsNonDate="0" containsString="0"/>
    </cacheField>
    <cacheField name="Unsupported0" numFmtId="0" hierarchy="37" level="32767">
      <extLst>
        <ext xmlns:x14="http://schemas.microsoft.com/office/spreadsheetml/2009/9/main" uri="{63CAB8AC-B538-458d-9737-405883B0398D}">
          <x14:cacheField ignore="1"/>
        </ext>
      </extLst>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fieldsUsage count="2">
        <fieldUsage x="-1"/>
        <fieldUsage x="3"/>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Shadaab" refreshedDate="45963.063946296294" backgroundQuery="1" createdVersion="8" refreshedVersion="8" minRefreshableVersion="3" recordCount="0" supportSubquery="1" supportAdvancedDrill="1" xr:uid="{CFD9361D-414C-4E20-A062-9CEFADEC864C}">
  <cacheSource type="external" connectionId="3"/>
  <cacheFields count="4">
    <cacheField name="[Calender_Table].[Date (Month)].[Date (Month)]" caption="Date (Month)" numFmtId="0" hierarchy="2" level="1">
      <sharedItems containsSemiMixedTypes="0" containsNonDate="0" containsString="0"/>
    </cacheField>
    <cacheField name="[Hospital Emergency Room Data].[Age Group].[Age Group]" caption="Age Group" numFmtId="0" hierarchy="15" level="1">
      <sharedItems count="8">
        <s v="0-09"/>
        <s v="10-19"/>
        <s v="20-29"/>
        <s v="30-39"/>
        <s v="40-49"/>
        <s v="50-59"/>
        <s v="60-69"/>
        <s v="70-79"/>
      </sharedItems>
    </cacheField>
    <cacheField name="[Measures].[Count of Age Group]" caption="Count of Age Group" numFmtId="0" hierarchy="31" level="32767"/>
    <cacheField name="[Calender_Table].[Year].[Year]" caption="Year" numFmtId="0" hierarchy="1"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fieldsUsage count="2">
        <fieldUsage x="-1"/>
        <fieldUsage x="3"/>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Shadaab" refreshedDate="45963.063946759263" backgroundQuery="1" createdVersion="8" refreshedVersion="8" minRefreshableVersion="3" recordCount="0" supportSubquery="1" supportAdvancedDrill="1" xr:uid="{22458CE0-24BC-4478-AF98-E9AB11B58A91}">
  <cacheSource type="external" connectionId="3"/>
  <cacheFields count="5">
    <cacheField name="[Calender_Table].[Date (Month)].[Date (Month)]" caption="Date (Month)" numFmtId="0" hierarchy="2" level="1">
      <sharedItems containsSemiMixedTypes="0" containsNonDate="0" containsString="0"/>
    </cacheField>
    <cacheField name="[Measures].[Count of Calculated Column 2]" caption="Count of Calculated Column 2" numFmtId="0" hierarchy="29" level="32767"/>
    <cacheField name="[Hospital Emergency Room Data].[Calculated Column 2].[Calculated Column 2]" caption="Calculated Column 2" numFmtId="0" hierarchy="16" level="1">
      <sharedItems count="2">
        <s v="Delayed"/>
        <s v="Ontime"/>
      </sharedItems>
    </cacheField>
    <cacheField name="[Calender_Table].[Year].[Year]" caption="Year" numFmtId="0" hierarchy="1" level="1">
      <sharedItems containsSemiMixedTypes="0" containsNonDate="0" containsString="0"/>
    </cacheField>
    <cacheField name="Unsupported0" numFmtId="0" hierarchy="37" level="32767">
      <extLst>
        <ext xmlns:x14="http://schemas.microsoft.com/office/spreadsheetml/2009/9/main" uri="{63CAB8AC-B538-458d-9737-405883B0398D}">
          <x14:cacheField ignore="1"/>
        </ext>
      </extLst>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fieldsUsage count="2">
        <fieldUsage x="-1"/>
        <fieldUsage x="3"/>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2]" caption="Count of Calculated Column 2"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Shadaab" refreshedDate="45963.063947569448" backgroundQuery="1" createdVersion="8" refreshedVersion="8" minRefreshableVersion="3" recordCount="0" supportSubquery="1" supportAdvancedDrill="1" xr:uid="{F2563B65-E84F-46FB-BCDC-342C76A4550E}">
  <cacheSource type="external" connectionId="3"/>
  <cacheFields count="4">
    <cacheField name="[Calender_Table].[Date (Month)].[Date (Month)]" caption="Date (Month)" numFmtId="0" hierarchy="2" level="1">
      <sharedItems containsSemiMixedTypes="0" containsNonDate="0" containsString="0"/>
    </cacheField>
    <cacheField name="[Hospital Emergency Room Data].[Patient Gender].[Patient Gender]" caption="Patient Gender" numFmtId="0" hierarchy="8" level="1">
      <sharedItems count="2">
        <s v="Female"/>
        <s v="Male"/>
      </sharedItems>
    </cacheField>
    <cacheField name="[Measures].[Count of Patient Gender]" caption="Count of Patient Gender" numFmtId="0" hierarchy="34" level="32767"/>
    <cacheField name="[Calender_Table].[Year].[Year]" caption="Year" numFmtId="0" hierarchy="1"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fieldsUsage count="2">
        <fieldUsage x="-1"/>
        <fieldUsage x="3"/>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Shadaab" refreshedDate="45963.06394803241" backgroundQuery="1" createdVersion="8" refreshedVersion="8" minRefreshableVersion="3" recordCount="0" supportSubquery="1" supportAdvancedDrill="1" xr:uid="{83810688-D0B5-4AF9-9960-B36DB95EF786}">
  <cacheSource type="external" connectionId="3"/>
  <cacheFields count="4">
    <cacheField name="[Calender_Table].[Date (Month)].[Date (Month)]" caption="Date (Month)" numFmtId="0" hierarchy="2" level="1">
      <sharedItems containsSemiMixedTypes="0" containsNonDate="0" containsString="0"/>
    </cacheField>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er_Table].[Year].[Year]" caption="Year" numFmtId="0" hierarchy="1"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fieldsUsage count="2">
        <fieldUsage x="-1"/>
        <fieldUsage x="3"/>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Shadaab" refreshedDate="45963.06394861111" backgroundQuery="1" createdVersion="8" refreshedVersion="8" minRefreshableVersion="3" recordCount="0" supportSubquery="1" supportAdvancedDrill="1" xr:uid="{F1F20BFD-13BD-4BE3-B294-30590E612006}">
  <cacheSource type="external" connectionId="3"/>
  <cacheFields count="3">
    <cacheField name="[Calender_Table].[Date (Month)].[Date (Month)]" caption="Date (Month)" numFmtId="0" hierarchy="2" level="1">
      <sharedItems count="1">
        <s v="Jan"/>
      </sharedItems>
    </cacheField>
    <cacheField name="[Calender_Table].[Year].[Year]" caption="Year" numFmtId="0" hierarchy="1"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Calender_Table].[Year].&amp;[2024]"/>
          </x15:cachedUniqueNames>
        </ext>
      </extLst>
    </cacheField>
    <cacheField name="[Calender_Table].[Date].[Date]" caption="Date" numFmtId="0" level="1">
      <sharedItems containsSemiMixedTypes="0" containsNonDate="0" containsDate="1" containsString="0" minDate="2024-01-01T00:00:00" maxDate="2024-02-01T00:00:00" count="3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s>
  <cacheHierarchies count="37">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2"/>
      </fieldsUsage>
    </cacheHierarchy>
    <cacheHierarchy uniqueName="[Calender_Table].[Year]" caption="Year" attribute="1" defaultMemberUniqueName="[Calender_Table].[Year].[All]" allUniqueName="[Calender_Table].[Year].[All]" dimensionUniqueName="[Calender_Table]" displayFolder="" count="2" memberValueDatatype="20"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Shadaab" refreshedDate="45963.046634837963" backgroundQuery="1" createdVersion="3" refreshedVersion="8" minRefreshableVersion="3" recordCount="0" supportSubquery="1" supportAdvancedDrill="1" xr:uid="{964A42EA-F2F2-4320-A9C5-100A2785CF0E}">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3320421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094A60-0112-4FDF-8FA1-4C2AD7A34C6E}" name="PivotTable12" cacheId="778" applyNumberFormats="0" applyBorderFormats="0" applyFontFormats="0" applyPatternFormats="0" applyAlignmentFormats="0" applyWidthHeightFormats="1" dataCaption="Values" tag="39b69546-a2e9-45d5-851f-48c5b7a386c7" updatedVersion="8" minRefreshableVersion="3" useAutoFormatting="1" subtotalHiddenItems="1" rowGrandTotals="0" colGrandTotals="0" itemPrintTitles="1" createdVersion="8" indent="0" outline="1" outlineData="1" multipleFieldFilters="0" chartFormat="43">
  <location ref="A114:A207" firstHeaderRow="1" firstDataRow="1" firstDataCol="1"/>
  <pivotFields count="3">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s>
  <rowFields count="3">
    <field x="2"/>
    <field x="0"/>
    <field x="1"/>
  </rowFields>
  <rowItems count="93">
    <i>
      <x/>
    </i>
    <i r="1">
      <x/>
    </i>
    <i r="2">
      <x/>
    </i>
    <i>
      <x v="1"/>
    </i>
    <i r="1">
      <x/>
    </i>
    <i r="2">
      <x/>
    </i>
    <i>
      <x v="2"/>
    </i>
    <i r="1">
      <x/>
    </i>
    <i r="2">
      <x/>
    </i>
    <i>
      <x v="3"/>
    </i>
    <i r="1">
      <x/>
    </i>
    <i r="2">
      <x/>
    </i>
    <i>
      <x v="4"/>
    </i>
    <i r="1">
      <x/>
    </i>
    <i r="2">
      <x/>
    </i>
    <i>
      <x v="5"/>
    </i>
    <i r="1">
      <x/>
    </i>
    <i r="2">
      <x/>
    </i>
    <i>
      <x v="6"/>
    </i>
    <i r="1">
      <x/>
    </i>
    <i r="2">
      <x/>
    </i>
    <i>
      <x v="7"/>
    </i>
    <i r="1">
      <x/>
    </i>
    <i r="2">
      <x/>
    </i>
    <i>
      <x v="8"/>
    </i>
    <i r="1">
      <x/>
    </i>
    <i r="2">
      <x/>
    </i>
    <i>
      <x v="9"/>
    </i>
    <i r="1">
      <x/>
    </i>
    <i r="2">
      <x/>
    </i>
    <i>
      <x v="10"/>
    </i>
    <i r="1">
      <x/>
    </i>
    <i r="2">
      <x/>
    </i>
    <i>
      <x v="11"/>
    </i>
    <i r="1">
      <x/>
    </i>
    <i r="2">
      <x/>
    </i>
    <i>
      <x v="12"/>
    </i>
    <i r="1">
      <x/>
    </i>
    <i r="2">
      <x/>
    </i>
    <i>
      <x v="13"/>
    </i>
    <i r="1">
      <x/>
    </i>
    <i r="2">
      <x/>
    </i>
    <i>
      <x v="14"/>
    </i>
    <i r="1">
      <x/>
    </i>
    <i r="2">
      <x/>
    </i>
    <i>
      <x v="15"/>
    </i>
    <i r="1">
      <x/>
    </i>
    <i r="2">
      <x/>
    </i>
    <i>
      <x v="16"/>
    </i>
    <i r="1">
      <x/>
    </i>
    <i r="2">
      <x/>
    </i>
    <i>
      <x v="17"/>
    </i>
    <i r="1">
      <x/>
    </i>
    <i r="2">
      <x/>
    </i>
    <i>
      <x v="18"/>
    </i>
    <i r="1">
      <x/>
    </i>
    <i r="2">
      <x/>
    </i>
    <i>
      <x v="19"/>
    </i>
    <i r="1">
      <x/>
    </i>
    <i r="2">
      <x/>
    </i>
    <i>
      <x v="20"/>
    </i>
    <i r="1">
      <x/>
    </i>
    <i r="2">
      <x/>
    </i>
    <i>
      <x v="21"/>
    </i>
    <i r="1">
      <x/>
    </i>
    <i r="2">
      <x/>
    </i>
    <i>
      <x v="22"/>
    </i>
    <i r="1">
      <x/>
    </i>
    <i r="2">
      <x/>
    </i>
    <i>
      <x v="23"/>
    </i>
    <i r="1">
      <x/>
    </i>
    <i r="2">
      <x/>
    </i>
    <i>
      <x v="24"/>
    </i>
    <i r="1">
      <x/>
    </i>
    <i r="2">
      <x/>
    </i>
    <i>
      <x v="25"/>
    </i>
    <i r="1">
      <x/>
    </i>
    <i r="2">
      <x/>
    </i>
    <i>
      <x v="26"/>
    </i>
    <i r="1">
      <x/>
    </i>
    <i r="2">
      <x/>
    </i>
    <i>
      <x v="27"/>
    </i>
    <i r="1">
      <x/>
    </i>
    <i r="2">
      <x/>
    </i>
    <i>
      <x v="28"/>
    </i>
    <i r="1">
      <x/>
    </i>
    <i r="2">
      <x/>
    </i>
    <i>
      <x v="29"/>
    </i>
    <i r="1">
      <x/>
    </i>
    <i r="2">
      <x/>
    </i>
    <i>
      <x v="30"/>
    </i>
    <i r="1">
      <x/>
    </i>
    <i r="2">
      <x/>
    </i>
  </rowItems>
  <formats count="1">
    <format dxfId="122">
      <pivotArea outline="0" collapsedLevelsAreSubtotals="1" fieldPosition="0"/>
    </format>
  </formats>
  <pivotHierarchies count="3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0"/>
    <rowHierarchyUsage hierarchyUsage="2"/>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56E902-F63B-40C9-AD83-307FA9A69165}" name="PivotTable11" cacheId="775" applyNumberFormats="0" applyBorderFormats="0" applyFontFormats="0" applyPatternFormats="0" applyAlignmentFormats="0" applyWidthHeightFormats="1" dataCaption="Values" tag="33b3e8ff-5087-49bb-9f96-9a1d6b55a74e" updatedVersion="8" minRefreshableVersion="3" useAutoFormatting="1" subtotalHiddenItems="1" rowGrandTotals="0" colGrandTotals="0" itemPrintTitles="1" createdVersion="8" indent="0" outline="1" outlineData="1" multipleFieldFilters="0" chartFormat="58">
  <location ref="A96:B10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8">
    <i>
      <x v="1"/>
    </i>
    <i>
      <x v="7"/>
    </i>
    <i>
      <x v="3"/>
    </i>
    <i>
      <x v="6"/>
    </i>
    <i>
      <x/>
    </i>
    <i>
      <x v="5"/>
    </i>
    <i>
      <x v="2"/>
    </i>
    <i>
      <x v="4"/>
    </i>
  </rowItems>
  <colItems count="1">
    <i/>
  </colItems>
  <dataFields count="1">
    <dataField name="Count of Department Referral" fld="2" subtotal="count" baseField="0" baseItem="0" numFmtId="1"/>
  </dataFields>
  <formats count="1">
    <format dxfId="123">
      <pivotArea outline="0" collapsedLevelsAreSubtotals="1" fieldPosition="0"/>
    </format>
  </formats>
  <chartFormats count="3">
    <chartFormat chart="43"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 chart="57"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Year].&amp;[2024]"/>
      </members>
    </pivotHierarchy>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BF6422-3239-49C5-BB7D-89FB45647718}" name="PivotTable6" cacheId="760" applyNumberFormats="0" applyBorderFormats="0" applyFontFormats="0" applyPatternFormats="0" applyAlignmentFormats="0" applyWidthHeightFormats="1" dataCaption="Values" tag="bcafebf4-88bc-4c1f-b02f-e5e0a0ad97c3" updatedVersion="8" minRefreshableVersion="3" useAutoFormatting="1" subtotalHiddenItems="1" rowGrandTotals="0" colGrandTotals="0" itemPrintTitles="1" createdVersion="8" indent="0" outline="1" outlineData="1" multipleFieldFilters="0" chartFormat="32">
  <location ref="J3:K3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Average of Patient Satisfaction Score" fld="2" subtotal="average" baseField="1" baseItem="1"/>
  </dataFields>
  <formats count="1">
    <format dxfId="124">
      <pivotArea outline="0" collapsedLevelsAreSubtotals="1" fieldPosition="0"/>
    </format>
  </formats>
  <chartFormats count="3">
    <chartFormat chart="22"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Year].&amp;[2024]"/>
      </members>
    </pivotHierarchy>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ABC4B0-7874-4142-9AAA-B50B382C1D0F}" name="PivotTable5" cacheId="745" applyNumberFormats="0" applyBorderFormats="0" applyFontFormats="0" applyPatternFormats="0" applyAlignmentFormats="0" applyWidthHeightFormats="1" dataCaption="Values" tag="f8541d90-5d5c-4f2b-b00d-e86bc34a734c" updatedVersion="8" minRefreshableVersion="3" useAutoFormatting="1" subtotalHiddenItems="1" itemPrintTitles="1" createdVersion="8" indent="0" outline="1" outlineData="1" multipleFieldFilters="0" chartFormat="31">
  <location ref="C3:D36" firstHeaderRow="1" firstDataRow="1" firstDataCol="1"/>
  <pivotFields count="4">
    <pivotField dataField="1" subtotalTop="0" showAll="0" defaultSubtotal="0"/>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2">
    <field x="2"/>
    <field x="1"/>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28" format="8"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Year].&amp;[2024]"/>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122BE3-937F-4A43-A4C3-4A4B176FA60D}" name="PivotTable10" cacheId="772" applyNumberFormats="0" applyBorderFormats="0" applyFontFormats="0" applyPatternFormats="0" applyAlignmentFormats="0" applyWidthHeightFormats="1" dataCaption="Values" tag="2ceff67a-30ab-46b4-bd8e-0ca04db31866" updatedVersion="8" minRefreshableVersion="3" useAutoFormatting="1" subtotalHiddenItems="1" rowGrandTotals="0" colGrandTotals="0" itemPrintTitles="1" createdVersion="8" indent="0" outline="1" outlineData="1" multipleFieldFilters="0" chartFormat="43">
  <location ref="A86:B8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2">
    <i>
      <x/>
    </i>
    <i>
      <x v="1"/>
    </i>
  </rowItems>
  <colItems count="1">
    <i/>
  </colItems>
  <dataFields count="1">
    <dataField name="Count of Patient Gender" fld="2" subtotal="count" baseField="0" baseItem="0"/>
  </dataFields>
  <formats count="3">
    <format dxfId="127">
      <pivotArea outline="0" collapsedLevelsAreSubtotals="1" fieldPosition="0"/>
    </format>
    <format dxfId="126">
      <pivotArea collapsedLevelsAreSubtotals="1" fieldPosition="0">
        <references count="1">
          <reference field="1" count="1">
            <x v="0"/>
          </reference>
        </references>
      </pivotArea>
    </format>
    <format dxfId="125">
      <pivotArea collapsedLevelsAreSubtotals="1" fieldPosition="0">
        <references count="1">
          <reference field="1" count="1">
            <x v="1"/>
          </reference>
        </references>
      </pivotArea>
    </format>
  </formats>
  <chartFormats count="6">
    <chartFormat chart="37" format="0" series="1">
      <pivotArea type="data" outline="0" fieldPosition="0">
        <references count="1">
          <reference field="4294967294" count="1" selected="0">
            <x v="0"/>
          </reference>
        </references>
      </pivotArea>
    </chartFormat>
    <chartFormat chart="41" format="4" series="1">
      <pivotArea type="data" outline="0" fieldPosition="0">
        <references count="1">
          <reference field="4294967294" count="1" selected="0">
            <x v="0"/>
          </reference>
        </references>
      </pivotArea>
    </chartFormat>
    <chartFormat chart="41" format="5">
      <pivotArea type="data" outline="0" fieldPosition="0">
        <references count="2">
          <reference field="4294967294" count="1" selected="0">
            <x v="0"/>
          </reference>
          <reference field="1" count="1" selected="0">
            <x v="0"/>
          </reference>
        </references>
      </pivotArea>
    </chartFormat>
    <chartFormat chart="41" format="6">
      <pivotArea type="data" outline="0" fieldPosition="0">
        <references count="2">
          <reference field="4294967294" count="1" selected="0">
            <x v="0"/>
          </reference>
          <reference field="1" count="1" selected="0">
            <x v="1"/>
          </reference>
        </references>
      </pivotArea>
    </chartFormat>
    <chartFormat chart="37" format="1">
      <pivotArea type="data" outline="0" fieldPosition="0">
        <references count="2">
          <reference field="4294967294" count="1" selected="0">
            <x v="0"/>
          </reference>
          <reference field="1" count="1" selected="0">
            <x v="0"/>
          </reference>
        </references>
      </pivotArea>
    </chartFormat>
    <chartFormat chart="37" format="2">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er_Table].[Year].&amp;[2024]"/>
      </members>
    </pivotHierarchy>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352760-507C-481F-B892-8C5AAAAE4FE4}" name="PivotTable9" cacheId="766" applyNumberFormats="0" applyBorderFormats="0" applyFontFormats="0" applyPatternFormats="0" applyAlignmentFormats="0" applyWidthHeightFormats="1" dataCaption="Values" tag="6281c876-bd1c-4d77-bf61-31156b2ff1db" updatedVersion="8" minRefreshableVersion="3" useAutoFormatting="1" subtotalHiddenItems="1" rowGrandTotals="0" colGrandTotals="0" itemPrintTitles="1" createdVersion="8" indent="0" outline="1" outlineData="1" multipleFieldFilters="0" chartFormat="27">
  <location ref="A53:B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x v="7"/>
    </i>
  </rowItems>
  <colItems count="1">
    <i/>
  </colItems>
  <dataFields count="1">
    <dataField name="Count of Age Group" fld="2" subtotal="count" baseField="0" baseItem="0"/>
  </dataFields>
  <formats count="1">
    <format dxfId="128">
      <pivotArea outline="0" collapsedLevelsAreSubtotals="1" fieldPosition="0"/>
    </format>
  </formats>
  <chartFormats count="4">
    <chartFormat chart="20"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Year].&amp;[2024]"/>
      </members>
    </pivotHierarchy>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6FD41D-CC6C-4EB7-B7C4-6EBF8734BADB}" name="PivotTable7" cacheId="769" applyNumberFormats="0" applyBorderFormats="0" applyFontFormats="0" applyPatternFormats="0" applyAlignmentFormats="0" applyWidthHeightFormats="1" dataCaption="Values" tag="65ed8392-a214-4adb-8b61-813b5dfb61da" updatedVersion="8" minRefreshableVersion="3" useAutoFormatting="1" subtotalHiddenItems="1" rowGrandTotals="0" colGrandTotals="0" itemPrintTitles="1" createdVersion="8" indent="0" outline="1" outlineData="1" multipleFieldFilters="0" chartFormat="37">
  <location ref="A69:C71"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2">
    <i>
      <x/>
    </i>
    <i>
      <x v="1"/>
    </i>
  </rowItems>
  <colFields count="1">
    <field x="-2"/>
  </colFields>
  <colItems count="2">
    <i>
      <x/>
    </i>
    <i i="1">
      <x v="1"/>
    </i>
  </colItems>
  <dataFields count="2">
    <dataField name="Count of Calculated Column 2" fld="1" subtotal="count" baseField="0" baseItem="0"/>
    <dataField name="Count of Calculated Column 2_2" fld="4" subtotal="count" baseField="0" baseItem="0">
      <extLst>
        <ext xmlns:x14="http://schemas.microsoft.com/office/spreadsheetml/2009/9/main" uri="{E15A36E0-9728-4e99-A89B-3F7291B0FE68}">
          <x14:dataField sourceField="1" uniqueName="[__Xl2].[Measures].[Count of Calculated Column 2]"/>
        </ext>
      </extLst>
    </dataField>
  </dataFields>
  <formats count="3">
    <format dxfId="131">
      <pivotArea outline="0" collapsedLevelsAreSubtotals="1" fieldPosition="0"/>
    </format>
    <format dxfId="130">
      <pivotArea collapsedLevelsAreSubtotals="1" fieldPosition="0">
        <references count="1">
          <reference field="2" count="1">
            <x v="0"/>
          </reference>
        </references>
      </pivotArea>
    </format>
    <format dxfId="129">
      <pivotArea collapsedLevelsAreSubtotals="1" fieldPosition="0">
        <references count="1">
          <reference field="2" count="1">
            <x v="1"/>
          </reference>
        </references>
      </pivotArea>
    </format>
  </formats>
  <chartFormats count="12">
    <chartFormat chart="27"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2" count="1" selected="0">
            <x v="0"/>
          </reference>
        </references>
      </pivotArea>
    </chartFormat>
    <chartFormat chart="31" format="6">
      <pivotArea type="data" outline="0" fieldPosition="0">
        <references count="2">
          <reference field="4294967294" count="1" selected="0">
            <x v="0"/>
          </reference>
          <reference field="2" count="1" selected="0">
            <x v="1"/>
          </reference>
        </references>
      </pivotArea>
    </chartFormat>
    <chartFormat chart="31" format="7" series="1">
      <pivotArea type="data" outline="0" fieldPosition="0">
        <references count="1">
          <reference field="4294967294" count="1" selected="0">
            <x v="1"/>
          </reference>
        </references>
      </pivotArea>
    </chartFormat>
    <chartFormat chart="27" format="1" series="1">
      <pivotArea type="data" outline="0" fieldPosition="0">
        <references count="1">
          <reference field="4294967294" count="1" selected="0">
            <x v="1"/>
          </reference>
        </references>
      </pivotArea>
    </chartFormat>
    <chartFormat chart="27" format="2">
      <pivotArea type="data" outline="0" fieldPosition="0">
        <references count="2">
          <reference field="4294967294" count="1" selected="0">
            <x v="0"/>
          </reference>
          <reference field="2" count="1" selected="0">
            <x v="0"/>
          </reference>
        </references>
      </pivotArea>
    </chartFormat>
    <chartFormat chart="27" format="3">
      <pivotArea type="data" outline="0" fieldPosition="0">
        <references count="2">
          <reference field="4294967294" count="1" selected="0">
            <x v="0"/>
          </reference>
          <reference field="2" count="1" selected="0">
            <x v="1"/>
          </reference>
        </references>
      </pivotArea>
    </chartFormat>
    <chartFormat chart="27" format="4">
      <pivotArea type="data" outline="0" fieldPosition="0">
        <references count="2">
          <reference field="4294967294" count="1" selected="0">
            <x v="1"/>
          </reference>
          <reference field="2" count="1" selected="0">
            <x v="0"/>
          </reference>
        </references>
      </pivotArea>
    </chartFormat>
    <chartFormat chart="27" format="5">
      <pivotArea type="data" outline="0" fieldPosition="0">
        <references count="2">
          <reference field="4294967294" count="1" selected="0">
            <x v="1"/>
          </reference>
          <reference field="2" count="1" selected="0">
            <x v="1"/>
          </reference>
        </references>
      </pivotArea>
    </chartFormat>
    <chartFormat chart="31" format="8">
      <pivotArea type="data" outline="0" fieldPosition="0">
        <references count="2">
          <reference field="4294967294" count="1" selected="0">
            <x v="1"/>
          </reference>
          <reference field="2" count="1" selected="0">
            <x v="0"/>
          </reference>
        </references>
      </pivotArea>
    </chartFormat>
    <chartFormat chart="31" format="9">
      <pivotArea type="data" outline="0" fieldPosition="0">
        <references count="2">
          <reference field="4294967294" count="1" selected="0">
            <x v="1"/>
          </reference>
          <reference field="2" count="1" selected="0">
            <x v="1"/>
          </reference>
        </references>
      </pivotArea>
    </chartFormat>
  </chartFormats>
  <pivotHierarchies count="38">
    <pivotHierarchy dragToData="1"/>
    <pivotHierarchy multipleItemSelectionAllowed="1" dragToData="1">
      <members count="1" level="1">
        <member name="[Calender_Table].[Year].&amp;[2024]"/>
      </members>
    </pivotHierarchy>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caption="Count of Patient Age"/>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3A09B0-EA33-4EA8-8627-53CBB3E58256}" name="PivotTable8" cacheId="763" applyNumberFormats="0" applyBorderFormats="0" applyFontFormats="0" applyPatternFormats="0" applyAlignmentFormats="0" applyWidthHeightFormats="1" dataCaption="Values" tag="c4f7e444-7fc4-4409-ba6e-815edc6e7ded" updatedVersion="8" minRefreshableVersion="3" useAutoFormatting="1" subtotalHiddenItems="1" rowGrandTotals="0" colGrandTotals="0" itemPrintTitles="1" createdVersion="8" indent="0" outline="1" outlineData="1" multipleFieldFilters="0" chartFormat="20">
  <location ref="A43:C45"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2">
    <i>
      <x/>
    </i>
    <i>
      <x v="1"/>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135">
      <pivotArea outline="0" collapsedLevelsAreSubtotals="1" fieldPosition="0"/>
    </format>
    <format dxfId="134">
      <pivotArea collapsedLevelsAreSubtotals="1" fieldPosition="0">
        <references count="1">
          <reference field="2" count="1">
            <x v="0"/>
          </reference>
        </references>
      </pivotArea>
    </format>
    <format dxfId="133">
      <pivotArea collapsedLevelsAreSubtotals="1" fieldPosition="0">
        <references count="1">
          <reference field="2" count="1">
            <x v="1"/>
          </reference>
        </references>
      </pivotArea>
    </format>
    <format dxfId="132">
      <pivotArea outline="0" fieldPosition="0">
        <references count="1">
          <reference field="4294967294" count="1">
            <x v="1"/>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0"/>
          </reference>
          <reference field="2" count="1" selected="0">
            <x v="0"/>
          </reference>
        </references>
      </pivotArea>
    </chartFormat>
    <chartFormat chart="4" format="7">
      <pivotArea type="data" outline="0" fieldPosition="0">
        <references count="2">
          <reference field="4294967294" count="1" selected="0">
            <x v="0"/>
          </reference>
          <reference field="2"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2" count="1" selected="0">
            <x v="0"/>
          </reference>
        </references>
      </pivotArea>
    </chartFormat>
    <chartFormat chart="7" format="14">
      <pivotArea type="data" outline="0" fieldPosition="0">
        <references count="2">
          <reference field="4294967294" count="1" selected="0">
            <x v="0"/>
          </reference>
          <reference field="2" count="1" selected="0">
            <x v="1"/>
          </reference>
        </references>
      </pivotArea>
    </chartFormat>
    <chartFormat chart="7" format="15"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members count="1" level="1">
        <member name="[Calender_Table].[Year].&amp;[2024]"/>
      </members>
    </pivotHierarchy>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1E9EC3-1F5F-4811-A971-564A66531EE8}" name="PivotTable2" cacheId="748" applyNumberFormats="0" applyBorderFormats="0" applyFontFormats="0" applyPatternFormats="0" applyAlignmentFormats="0" applyWidthHeightFormats="1" dataCaption="Values" tag="4a51b57b-c80e-410b-8399-21d3d3c35062" updatedVersion="8" minRefreshableVersion="3" useAutoFormatting="1" subtotalHiddenItems="1" itemPrintTitles="1" createdVersion="8" indent="0" outline="1" outlineData="1" multipleFieldFilters="0" chartFormat="2">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members count="1" level="1">
        <member name="[Calender_Table].[Year].&amp;[2024]"/>
      </members>
    </pivotHierarchy>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4F7BEE-9A2E-448B-88E0-85646D25A183}" name="PivotTable3" cacheId="751" applyNumberFormats="0" applyBorderFormats="0" applyFontFormats="0" applyPatternFormats="0" applyAlignmentFormats="0" applyWidthHeightFormats="1" dataCaption="Values" tag="388f75b6-7820-4f4f-96b5-421cdc1b4094" updatedVersion="8" minRefreshableVersion="3" useAutoFormatting="1" subtotalHiddenItems="1" itemPrintTitles="1" createdVersion="8"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36">
      <pivotArea outline="0" collapsedLevelsAreSubtotals="1" fieldPosition="0"/>
    </format>
  </formats>
  <pivotHierarchies count="37">
    <pivotHierarchy dragToData="1"/>
    <pivotHierarchy multipleItemSelectionAllowed="1" dragToData="1">
      <members count="1" level="1">
        <member name="[Calender_Table].[Year].&amp;[2024]"/>
      </members>
    </pivotHierarchy>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7E57B1-F96A-4ABB-97A1-8488420E6839}" name="PivotTable4" cacheId="754" applyNumberFormats="0" applyBorderFormats="0" applyFontFormats="0" applyPatternFormats="0" applyAlignmentFormats="0" applyWidthHeightFormats="1" dataCaption="Values" tag="a4605585-e547-40d1-8286-49114e23d1c7" updatedVersion="8" minRefreshableVersion="3" useAutoFormatting="1" subtotalHiddenItems="1" itemPrintTitles="1" createdVersion="8"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37">
      <pivotArea outline="0" collapsedLevelsAreSubtotals="1" fieldPosition="0"/>
    </format>
  </formats>
  <pivotHierarchies count="37">
    <pivotHierarchy dragToData="1"/>
    <pivotHierarchy multipleItemSelectionAllowed="1" dragToData="1">
      <members count="1" level="1">
        <member name="[Calender_Table].[Year].&amp;[2024]"/>
      </members>
    </pivotHierarchy>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63A1B9E-33A4-4E1F-9F85-69F326821B7F}" name="PivotTable1" cacheId="757" applyNumberFormats="0" applyBorderFormats="0" applyFontFormats="0" applyPatternFormats="0" applyAlignmentFormats="0" applyWidthHeightFormats="1" dataCaption="Values" tag="25c58793-9153-4a09-b250-e3284d3c1eef" updatedVersion="8" minRefreshableVersion="3" useAutoFormatting="1" subtotalHiddenItems="1" rowGrandTotals="0" colGrandTotals="0" itemPrintTitles="1" createdVersion="8" indent="0" outline="1" outlineData="1" multipleFieldFilters="0" chartFormat="22">
  <location ref="F3:G35" firstHeaderRow="1" firstDataRow="1" firstDataCol="1"/>
  <pivotFields count="4">
    <pivotField dataField="1" subtotalTop="0" showAll="0" defaultSubtotal="0"/>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2">
    <field x="1"/>
    <field x="2"/>
  </rowFields>
  <rowItems count="32">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rowItems>
  <colItems count="1">
    <i/>
  </colItems>
  <dataFields count="1">
    <dataField name="Average of Patient Waittime" fld="0" subtotal="average" baseField="0" baseItem="0" numFmtId="2"/>
  </dataFields>
  <formats count="1">
    <format dxfId="13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Year].&amp;[2024]"/>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CAA0DED-BDD1-4A40-8CDB-B8A5DB1F82FB}" sourceName="[Calender_Table].[Date (Month)]">
  <pivotTables>
    <pivotTable tabId="1" name="PivotTable5"/>
    <pivotTable tabId="1" name="PivotTable2"/>
    <pivotTable tabId="1" name="PivotTable3"/>
    <pivotTable tabId="1" name="PivotTable4"/>
    <pivotTable tabId="1" name="PivotTable1"/>
    <pivotTable tabId="1" name="PivotTable6"/>
    <pivotTable tabId="1" name="PivotTable8"/>
    <pivotTable tabId="1" name="PivotTable9"/>
    <pivotTable tabId="1" name="PivotTable7"/>
    <pivotTable tabId="1" name="PivotTable10"/>
    <pivotTable tabId="1" name="PivotTable11"/>
    <pivotTable tabId="1" name="PivotTable12"/>
  </pivotTables>
  <data>
    <olap pivotCacheId="1332042107">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C0A2459-B8F4-4577-9DEF-1FF1254A9986}" sourceName="[Calender_Table].[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332042107">
      <levels count="2">
        <level uniqueName="[Calender_Table].[Year].[(All)]" sourceCaption="(All)" count="0"/>
        <level uniqueName="[Calender_Table].[Year].[Year]" sourceCaption="Year" count="2">
          <ranges>
            <range startItem="0">
              <i n="[Calender_Table].[Year].&amp;[2023]" c="2023"/>
              <i n="[Calender_Table].[Year].&amp;[2024]" c="2024"/>
            </range>
          </ranges>
        </level>
      </levels>
      <selections count="1">
        <selection n="[Calender_Table].[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3DB14784-B212-41A7-A48B-60DA56A0A642}" cache="Slicer_Date__Month" showCaption="0" level="1" style="SlicerStyleDark1" rowHeight="108000"/>
  <slicer name="Year 1" xr10:uid="{FFDF7F7D-B627-4481-A57F-59437ED13067}" cache="Slicer_Year" caption="Year" showCaption="0" level="1" style="SlicerStyleDark5"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710EBE7-D3A3-4FE4-831D-4DBB2E62E4B2}" cache="Slicer_Date__Month" caption="Date (Month)" level="1" rowHeight="241300"/>
  <slicer name="Year" xr10:uid="{C71642EB-3EFA-4984-9843-09A8FB0A4616}" cache="Slicer_Year" caption="Year" level="1"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DD113-DC42-4533-B528-5D7448DB71CD}">
  <dimension ref="A1:AS48"/>
  <sheetViews>
    <sheetView showGridLines="0" tabSelected="1" zoomScale="140" zoomScaleNormal="140" workbookViewId="0">
      <selection activeCell="M6" sqref="M6"/>
    </sheetView>
  </sheetViews>
  <sheetFormatPr defaultRowHeight="14.5" x14ac:dyDescent="0.35"/>
  <sheetData>
    <row r="1" spans="1:45" x14ac:dyDescent="0.3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x14ac:dyDescent="0.35">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row>
    <row r="3" spans="1:45" x14ac:dyDescent="0.3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row>
    <row r="4" spans="1:45" x14ac:dyDescent="0.3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row>
    <row r="5" spans="1:45" x14ac:dyDescent="0.3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row>
    <row r="6" spans="1:45" x14ac:dyDescent="0.3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row>
    <row r="7" spans="1:45" x14ac:dyDescent="0.35">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row>
    <row r="8" spans="1:45" x14ac:dyDescent="0.35">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row>
    <row r="9" spans="1:45" x14ac:dyDescent="0.35">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row>
    <row r="10" spans="1:45" x14ac:dyDescent="0.35">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row>
    <row r="11" spans="1:45" x14ac:dyDescent="0.35">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row>
    <row r="12" spans="1:45" x14ac:dyDescent="0.3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row>
    <row r="13" spans="1:45" x14ac:dyDescent="0.35">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row>
    <row r="14" spans="1:45" x14ac:dyDescent="0.35">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row>
    <row r="15" spans="1:45" x14ac:dyDescent="0.3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row>
    <row r="16" spans="1:45" x14ac:dyDescent="0.35">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row>
    <row r="17" spans="1:45" x14ac:dyDescent="0.35">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row>
    <row r="18" spans="1:45" x14ac:dyDescent="0.3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row>
    <row r="19" spans="1:45" x14ac:dyDescent="0.3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row>
    <row r="20" spans="1:45" x14ac:dyDescent="0.3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row>
    <row r="21" spans="1:45" x14ac:dyDescent="0.35">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row>
    <row r="22" spans="1:45" x14ac:dyDescent="0.3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row>
    <row r="23" spans="1:45" x14ac:dyDescent="0.3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row>
    <row r="24" spans="1:45" x14ac:dyDescent="0.3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row>
    <row r="25" spans="1:45" x14ac:dyDescent="0.3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row>
    <row r="26" spans="1:45" x14ac:dyDescent="0.3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row>
    <row r="27" spans="1:45" x14ac:dyDescent="0.3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row>
    <row r="28" spans="1:45" x14ac:dyDescent="0.3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row>
    <row r="29" spans="1:45" x14ac:dyDescent="0.3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row>
    <row r="30" spans="1:45" x14ac:dyDescent="0.3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row>
    <row r="31" spans="1:45" x14ac:dyDescent="0.3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row>
    <row r="32" spans="1:45" x14ac:dyDescent="0.3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row>
    <row r="33" spans="1:45" x14ac:dyDescent="0.3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row>
    <row r="34" spans="1:45" x14ac:dyDescent="0.3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row>
    <row r="35" spans="1:45" x14ac:dyDescent="0.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row>
    <row r="36" spans="1:45" x14ac:dyDescent="0.3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row>
    <row r="37" spans="1:45" x14ac:dyDescent="0.3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row>
    <row r="38" spans="1:45" x14ac:dyDescent="0.3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row>
    <row r="39" spans="1:45" x14ac:dyDescent="0.3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row>
    <row r="40" spans="1:45" x14ac:dyDescent="0.3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row>
    <row r="41" spans="1:45" x14ac:dyDescent="0.3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row>
    <row r="42" spans="1:45" x14ac:dyDescent="0.3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row>
    <row r="43" spans="1:45" x14ac:dyDescent="0.3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row>
    <row r="44" spans="1:45" x14ac:dyDescent="0.3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row>
    <row r="45" spans="1:45" x14ac:dyDescent="0.3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row>
    <row r="46" spans="1:45" x14ac:dyDescent="0.3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row>
    <row r="47" spans="1:45" x14ac:dyDescent="0.3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row>
    <row r="48" spans="1:45" x14ac:dyDescent="0.3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A0921-6E9F-4800-91B0-F9A5BA1F963E}">
  <dimension ref="A3:K207"/>
  <sheetViews>
    <sheetView workbookViewId="0">
      <selection activeCell="A115" sqref="A115"/>
    </sheetView>
  </sheetViews>
  <sheetFormatPr defaultRowHeight="14.5" x14ac:dyDescent="0.35"/>
  <cols>
    <col min="1" max="1" width="12.36328125" bestFit="1" customWidth="1"/>
    <col min="2" max="2" width="26.26953125" bestFit="1" customWidth="1"/>
    <col min="3" max="3" width="28" bestFit="1" customWidth="1"/>
    <col min="4" max="4" width="23.81640625" bestFit="1" customWidth="1"/>
    <col min="5" max="5" width="10.08984375" bestFit="1" customWidth="1"/>
    <col min="6" max="6" width="12.36328125" bestFit="1" customWidth="1"/>
    <col min="7" max="7" width="24.81640625" bestFit="1" customWidth="1"/>
    <col min="8" max="9" width="10.08984375" bestFit="1" customWidth="1"/>
    <col min="10" max="10" width="12.36328125" bestFit="1" customWidth="1"/>
    <col min="11" max="11" width="31.90625" bestFit="1" customWidth="1"/>
    <col min="12" max="63" width="10.08984375" bestFit="1" customWidth="1"/>
  </cols>
  <sheetData>
    <row r="3" spans="1:11" x14ac:dyDescent="0.35">
      <c r="A3" t="s">
        <v>0</v>
      </c>
      <c r="C3" s="1" t="s">
        <v>3</v>
      </c>
      <c r="D3" t="s">
        <v>0</v>
      </c>
      <c r="F3" s="1" t="s">
        <v>3</v>
      </c>
      <c r="G3" t="s">
        <v>1</v>
      </c>
      <c r="J3" s="1" t="s">
        <v>3</v>
      </c>
      <c r="K3" t="s">
        <v>2</v>
      </c>
    </row>
    <row r="4" spans="1:11" x14ac:dyDescent="0.35">
      <c r="A4" s="17">
        <v>513</v>
      </c>
      <c r="C4" s="4" t="s">
        <v>5</v>
      </c>
      <c r="D4" s="17"/>
      <c r="F4" s="4" t="s">
        <v>5</v>
      </c>
      <c r="G4" s="2"/>
      <c r="J4" s="4" t="s">
        <v>6</v>
      </c>
      <c r="K4" s="2">
        <v>6.666666666666667</v>
      </c>
    </row>
    <row r="5" spans="1:11" x14ac:dyDescent="0.35">
      <c r="C5" s="5" t="s">
        <v>6</v>
      </c>
      <c r="D5" s="17">
        <v>19</v>
      </c>
      <c r="F5" s="5" t="s">
        <v>6</v>
      </c>
      <c r="G5" s="2">
        <v>37.789473684210527</v>
      </c>
      <c r="J5" s="4" t="s">
        <v>7</v>
      </c>
      <c r="K5" s="2">
        <v>3.5</v>
      </c>
    </row>
    <row r="6" spans="1:11" x14ac:dyDescent="0.35">
      <c r="C6" s="5" t="s">
        <v>7</v>
      </c>
      <c r="D6" s="17">
        <v>14</v>
      </c>
      <c r="F6" s="5" t="s">
        <v>7</v>
      </c>
      <c r="G6" s="2">
        <v>38.214285714285715</v>
      </c>
      <c r="J6" s="4" t="s">
        <v>8</v>
      </c>
      <c r="K6" s="2">
        <v>4.5</v>
      </c>
    </row>
    <row r="7" spans="1:11" x14ac:dyDescent="0.35">
      <c r="C7" s="5" t="s">
        <v>8</v>
      </c>
      <c r="D7" s="17">
        <v>13</v>
      </c>
      <c r="F7" s="5" t="s">
        <v>8</v>
      </c>
      <c r="G7" s="2">
        <v>40.92307692307692</v>
      </c>
      <c r="J7" s="4" t="s">
        <v>9</v>
      </c>
      <c r="K7" s="2">
        <v>4.8</v>
      </c>
    </row>
    <row r="8" spans="1:11" x14ac:dyDescent="0.35">
      <c r="A8" t="s">
        <v>1</v>
      </c>
      <c r="C8" s="5" t="s">
        <v>9</v>
      </c>
      <c r="D8" s="17">
        <v>22</v>
      </c>
      <c r="F8" s="5" t="s">
        <v>9</v>
      </c>
      <c r="G8" s="2">
        <v>34.5</v>
      </c>
      <c r="J8" s="4" t="s">
        <v>10</v>
      </c>
      <c r="K8" s="2">
        <v>7.75</v>
      </c>
    </row>
    <row r="9" spans="1:11" x14ac:dyDescent="0.35">
      <c r="A9" s="2">
        <v>36.323586744639378</v>
      </c>
      <c r="C9" s="5" t="s">
        <v>10</v>
      </c>
      <c r="D9" s="17">
        <v>19</v>
      </c>
      <c r="F9" s="5" t="s">
        <v>10</v>
      </c>
      <c r="G9" s="2">
        <v>30.684210526315791</v>
      </c>
      <c r="J9" s="4" t="s">
        <v>11</v>
      </c>
      <c r="K9" s="2">
        <v>6.2</v>
      </c>
    </row>
    <row r="10" spans="1:11" x14ac:dyDescent="0.35">
      <c r="C10" s="5" t="s">
        <v>11</v>
      </c>
      <c r="D10" s="17">
        <v>15</v>
      </c>
      <c r="F10" s="5" t="s">
        <v>11</v>
      </c>
      <c r="G10" s="2">
        <v>37.666666666666664</v>
      </c>
      <c r="J10" s="4" t="s">
        <v>12</v>
      </c>
      <c r="K10" s="2">
        <v>3.75</v>
      </c>
    </row>
    <row r="11" spans="1:11" x14ac:dyDescent="0.35">
      <c r="C11" s="5" t="s">
        <v>12</v>
      </c>
      <c r="D11" s="17">
        <v>12</v>
      </c>
      <c r="F11" s="5" t="s">
        <v>12</v>
      </c>
      <c r="G11" s="2">
        <v>36.083333333333336</v>
      </c>
      <c r="J11" s="4" t="s">
        <v>13</v>
      </c>
      <c r="K11" s="2">
        <v>6.5</v>
      </c>
    </row>
    <row r="12" spans="1:11" x14ac:dyDescent="0.35">
      <c r="A12" t="s">
        <v>2</v>
      </c>
      <c r="C12" s="5" t="s">
        <v>13</v>
      </c>
      <c r="D12" s="17">
        <v>21</v>
      </c>
      <c r="F12" s="5" t="s">
        <v>13</v>
      </c>
      <c r="G12" s="2">
        <v>43.523809523809526</v>
      </c>
      <c r="J12" s="4" t="s">
        <v>14</v>
      </c>
      <c r="K12" s="2">
        <v>3</v>
      </c>
    </row>
    <row r="13" spans="1:11" x14ac:dyDescent="0.35">
      <c r="A13" s="2">
        <v>4.9591836734693882</v>
      </c>
      <c r="C13" s="5" t="s">
        <v>14</v>
      </c>
      <c r="D13" s="17">
        <v>12</v>
      </c>
      <c r="F13" s="5" t="s">
        <v>14</v>
      </c>
      <c r="G13" s="2">
        <v>29.5</v>
      </c>
      <c r="J13" s="4" t="s">
        <v>15</v>
      </c>
      <c r="K13" s="2">
        <v>4.5</v>
      </c>
    </row>
    <row r="14" spans="1:11" x14ac:dyDescent="0.35">
      <c r="C14" s="5" t="s">
        <v>15</v>
      </c>
      <c r="D14" s="17">
        <v>13</v>
      </c>
      <c r="F14" s="5" t="s">
        <v>15</v>
      </c>
      <c r="G14" s="2">
        <v>38.07692307692308</v>
      </c>
      <c r="J14" s="4" t="s">
        <v>16</v>
      </c>
      <c r="K14" s="2">
        <v>6</v>
      </c>
    </row>
    <row r="15" spans="1:11" x14ac:dyDescent="0.35">
      <c r="C15" s="5" t="s">
        <v>16</v>
      </c>
      <c r="D15" s="17">
        <v>13</v>
      </c>
      <c r="F15" s="5" t="s">
        <v>16</v>
      </c>
      <c r="G15" s="2">
        <v>35.846153846153847</v>
      </c>
      <c r="J15" s="4" t="s">
        <v>17</v>
      </c>
      <c r="K15" s="2">
        <v>5.2</v>
      </c>
    </row>
    <row r="16" spans="1:11" x14ac:dyDescent="0.35">
      <c r="C16" s="5" t="s">
        <v>17</v>
      </c>
      <c r="D16" s="17">
        <v>16</v>
      </c>
      <c r="F16" s="5" t="s">
        <v>17</v>
      </c>
      <c r="G16" s="2">
        <v>32.625</v>
      </c>
      <c r="J16" s="4" t="s">
        <v>18</v>
      </c>
      <c r="K16" s="2">
        <v>4.4000000000000004</v>
      </c>
    </row>
    <row r="17" spans="1:11" x14ac:dyDescent="0.35">
      <c r="C17" s="5" t="s">
        <v>18</v>
      </c>
      <c r="D17" s="17">
        <v>20</v>
      </c>
      <c r="F17" s="5" t="s">
        <v>18</v>
      </c>
      <c r="G17" s="2">
        <v>39.200000000000003</v>
      </c>
      <c r="J17" s="4" t="s">
        <v>19</v>
      </c>
      <c r="K17" s="2">
        <v>3.4545454545454546</v>
      </c>
    </row>
    <row r="18" spans="1:11" x14ac:dyDescent="0.35">
      <c r="A18" s="7"/>
      <c r="C18" s="5" t="s">
        <v>19</v>
      </c>
      <c r="D18" s="17">
        <v>25</v>
      </c>
      <c r="F18" s="5" t="s">
        <v>19</v>
      </c>
      <c r="G18" s="2">
        <v>35.28</v>
      </c>
      <c r="J18" s="4" t="s">
        <v>20</v>
      </c>
      <c r="K18" s="2">
        <v>4.4000000000000004</v>
      </c>
    </row>
    <row r="19" spans="1:11" x14ac:dyDescent="0.35">
      <c r="C19" s="5" t="s">
        <v>20</v>
      </c>
      <c r="D19" s="17">
        <v>20</v>
      </c>
      <c r="F19" s="5" t="s">
        <v>20</v>
      </c>
      <c r="G19" s="2">
        <v>32.549999999999997</v>
      </c>
      <c r="J19" s="4" t="s">
        <v>21</v>
      </c>
      <c r="K19" s="2">
        <v>5.833333333333333</v>
      </c>
    </row>
    <row r="20" spans="1:11" x14ac:dyDescent="0.35">
      <c r="C20" s="5" t="s">
        <v>21</v>
      </c>
      <c r="D20" s="17">
        <v>14</v>
      </c>
      <c r="F20" s="5" t="s">
        <v>21</v>
      </c>
      <c r="G20" s="2">
        <v>35.642857142857146</v>
      </c>
      <c r="J20" s="4" t="s">
        <v>22</v>
      </c>
      <c r="K20" s="2">
        <v>4.4444444444444446</v>
      </c>
    </row>
    <row r="21" spans="1:11" x14ac:dyDescent="0.35">
      <c r="C21" s="5" t="s">
        <v>22</v>
      </c>
      <c r="D21" s="17">
        <v>17</v>
      </c>
      <c r="F21" s="5" t="s">
        <v>22</v>
      </c>
      <c r="G21" s="2">
        <v>38.764705882352942</v>
      </c>
      <c r="J21" s="4" t="s">
        <v>23</v>
      </c>
      <c r="K21" s="2">
        <v>5.333333333333333</v>
      </c>
    </row>
    <row r="22" spans="1:11" x14ac:dyDescent="0.35">
      <c r="C22" s="5" t="s">
        <v>23</v>
      </c>
      <c r="D22" s="17">
        <v>20</v>
      </c>
      <c r="F22" s="5" t="s">
        <v>23</v>
      </c>
      <c r="G22" s="2">
        <v>39.9</v>
      </c>
      <c r="J22" s="4" t="s">
        <v>24</v>
      </c>
      <c r="K22" s="2">
        <v>5.333333333333333</v>
      </c>
    </row>
    <row r="23" spans="1:11" x14ac:dyDescent="0.35">
      <c r="C23" s="5" t="s">
        <v>24</v>
      </c>
      <c r="D23" s="17">
        <v>10</v>
      </c>
      <c r="F23" s="5" t="s">
        <v>24</v>
      </c>
      <c r="G23" s="2">
        <v>41.6</v>
      </c>
      <c r="J23" s="4" t="s">
        <v>25</v>
      </c>
      <c r="K23" s="2">
        <v>5.5714285714285712</v>
      </c>
    </row>
    <row r="24" spans="1:11" x14ac:dyDescent="0.35">
      <c r="C24" s="5" t="s">
        <v>25</v>
      </c>
      <c r="D24" s="17">
        <v>17</v>
      </c>
      <c r="F24" s="5" t="s">
        <v>25</v>
      </c>
      <c r="G24" s="2">
        <v>39.470588235294116</v>
      </c>
      <c r="J24" s="4" t="s">
        <v>26</v>
      </c>
      <c r="K24" s="2">
        <v>5</v>
      </c>
    </row>
    <row r="25" spans="1:11" x14ac:dyDescent="0.35">
      <c r="C25" s="5" t="s">
        <v>26</v>
      </c>
      <c r="D25" s="17">
        <v>15</v>
      </c>
      <c r="F25" s="5" t="s">
        <v>26</v>
      </c>
      <c r="G25" s="2">
        <v>27.733333333333334</v>
      </c>
      <c r="J25" s="4" t="s">
        <v>27</v>
      </c>
      <c r="K25" s="2">
        <v>6.4</v>
      </c>
    </row>
    <row r="26" spans="1:11" x14ac:dyDescent="0.35">
      <c r="C26" s="5" t="s">
        <v>27</v>
      </c>
      <c r="D26" s="17">
        <v>16</v>
      </c>
      <c r="F26" s="5" t="s">
        <v>27</v>
      </c>
      <c r="G26" s="2">
        <v>36.875</v>
      </c>
      <c r="J26" s="4" t="s">
        <v>28</v>
      </c>
      <c r="K26" s="2">
        <v>5.333333333333333</v>
      </c>
    </row>
    <row r="27" spans="1:11" x14ac:dyDescent="0.35">
      <c r="C27" s="5" t="s">
        <v>28</v>
      </c>
      <c r="D27" s="17">
        <v>18</v>
      </c>
      <c r="F27" s="5" t="s">
        <v>28</v>
      </c>
      <c r="G27" s="2">
        <v>40.333333333333336</v>
      </c>
      <c r="J27" s="4" t="s">
        <v>29</v>
      </c>
      <c r="K27" s="2">
        <v>3.75</v>
      </c>
    </row>
    <row r="28" spans="1:11" x14ac:dyDescent="0.35">
      <c r="C28" s="5" t="s">
        <v>29</v>
      </c>
      <c r="D28" s="17">
        <v>16</v>
      </c>
      <c r="F28" s="5" t="s">
        <v>29</v>
      </c>
      <c r="G28" s="2">
        <v>36.5</v>
      </c>
      <c r="J28" s="4" t="s">
        <v>30</v>
      </c>
      <c r="K28" s="2">
        <v>6.333333333333333</v>
      </c>
    </row>
    <row r="29" spans="1:11" x14ac:dyDescent="0.35">
      <c r="C29" s="5" t="s">
        <v>30</v>
      </c>
      <c r="D29" s="17">
        <v>15</v>
      </c>
      <c r="F29" s="5" t="s">
        <v>30</v>
      </c>
      <c r="G29" s="2">
        <v>32.866666666666667</v>
      </c>
      <c r="J29" s="4" t="s">
        <v>31</v>
      </c>
      <c r="K29" s="2">
        <v>10</v>
      </c>
    </row>
    <row r="30" spans="1:11" x14ac:dyDescent="0.35">
      <c r="C30" s="5" t="s">
        <v>31</v>
      </c>
      <c r="D30" s="17">
        <v>14</v>
      </c>
      <c r="F30" s="5" t="s">
        <v>31</v>
      </c>
      <c r="G30" s="2">
        <v>36.642857142857146</v>
      </c>
      <c r="J30" s="4" t="s">
        <v>32</v>
      </c>
      <c r="K30" s="2">
        <v>5</v>
      </c>
    </row>
    <row r="31" spans="1:11" x14ac:dyDescent="0.35">
      <c r="C31" s="5" t="s">
        <v>32</v>
      </c>
      <c r="D31" s="17">
        <v>16</v>
      </c>
      <c r="F31" s="5" t="s">
        <v>32</v>
      </c>
      <c r="G31" s="2">
        <v>36.5625</v>
      </c>
      <c r="J31" s="4" t="s">
        <v>33</v>
      </c>
      <c r="K31" s="2">
        <v>5.333333333333333</v>
      </c>
    </row>
    <row r="32" spans="1:11" x14ac:dyDescent="0.35">
      <c r="C32" s="5" t="s">
        <v>33</v>
      </c>
      <c r="D32" s="17">
        <v>20</v>
      </c>
      <c r="F32" s="5" t="s">
        <v>33</v>
      </c>
      <c r="G32" s="2">
        <v>32.15</v>
      </c>
      <c r="J32" s="4" t="s">
        <v>34</v>
      </c>
      <c r="K32" s="2">
        <v>4.8</v>
      </c>
    </row>
    <row r="33" spans="1:11" x14ac:dyDescent="0.35">
      <c r="C33" s="5" t="s">
        <v>34</v>
      </c>
      <c r="D33" s="17">
        <v>19</v>
      </c>
      <c r="F33" s="5" t="s">
        <v>34</v>
      </c>
      <c r="G33" s="2">
        <v>38.368421052631582</v>
      </c>
      <c r="J33" s="4" t="s">
        <v>35</v>
      </c>
      <c r="K33" s="2">
        <v>5</v>
      </c>
    </row>
    <row r="34" spans="1:11" x14ac:dyDescent="0.35">
      <c r="C34" s="5" t="s">
        <v>35</v>
      </c>
      <c r="D34" s="17">
        <v>14</v>
      </c>
      <c r="F34" s="5" t="s">
        <v>35</v>
      </c>
      <c r="G34" s="2">
        <v>33.071428571428569</v>
      </c>
      <c r="J34" s="4" t="s">
        <v>36</v>
      </c>
      <c r="K34" s="2">
        <v>1.4</v>
      </c>
    </row>
    <row r="35" spans="1:11" x14ac:dyDescent="0.35">
      <c r="C35" s="5" t="s">
        <v>36</v>
      </c>
      <c r="D35" s="17">
        <v>18</v>
      </c>
      <c r="F35" s="5" t="s">
        <v>36</v>
      </c>
      <c r="G35" s="2">
        <v>36.444444444444443</v>
      </c>
    </row>
    <row r="36" spans="1:11" x14ac:dyDescent="0.35">
      <c r="C36" s="4" t="s">
        <v>4</v>
      </c>
      <c r="D36" s="17">
        <v>513</v>
      </c>
    </row>
    <row r="43" spans="1:11" x14ac:dyDescent="0.35">
      <c r="A43" s="1" t="s">
        <v>3</v>
      </c>
      <c r="B43" t="s">
        <v>47</v>
      </c>
      <c r="C43" t="s">
        <v>48</v>
      </c>
    </row>
    <row r="44" spans="1:11" x14ac:dyDescent="0.35">
      <c r="A44" s="4" t="s">
        <v>37</v>
      </c>
      <c r="B44" s="10">
        <v>269</v>
      </c>
      <c r="C44" s="11">
        <v>0.52436647173489281</v>
      </c>
    </row>
    <row r="45" spans="1:11" x14ac:dyDescent="0.35">
      <c r="A45" s="4" t="s">
        <v>46</v>
      </c>
      <c r="B45" s="10">
        <v>244</v>
      </c>
      <c r="C45" s="11">
        <v>0.47563352826510719</v>
      </c>
    </row>
    <row r="48" spans="1:11" x14ac:dyDescent="0.35">
      <c r="A48" s="12" t="s">
        <v>49</v>
      </c>
      <c r="B48" s="12" t="s">
        <v>50</v>
      </c>
      <c r="C48" s="12" t="s">
        <v>51</v>
      </c>
      <c r="D48" s="12"/>
    </row>
    <row r="49" spans="1:4" x14ac:dyDescent="0.35">
      <c r="A49" s="13" t="str">
        <f t="shared" ref="A49:C50" si="0">A44</f>
        <v>Admitted</v>
      </c>
      <c r="B49" s="13">
        <f t="shared" si="0"/>
        <v>269</v>
      </c>
      <c r="C49" s="14">
        <f t="shared" si="0"/>
        <v>0.52436647173489281</v>
      </c>
      <c r="D49" s="13"/>
    </row>
    <row r="50" spans="1:4" x14ac:dyDescent="0.35">
      <c r="A50" s="13" t="str">
        <f t="shared" si="0"/>
        <v>Not Admitted</v>
      </c>
      <c r="B50" s="13">
        <f t="shared" si="0"/>
        <v>244</v>
      </c>
      <c r="C50" s="14">
        <f t="shared" si="0"/>
        <v>0.47563352826510719</v>
      </c>
      <c r="D50" s="13"/>
    </row>
    <row r="53" spans="1:4" x14ac:dyDescent="0.35">
      <c r="A53" s="1" t="s">
        <v>3</v>
      </c>
      <c r="B53" t="s">
        <v>52</v>
      </c>
    </row>
    <row r="54" spans="1:4" x14ac:dyDescent="0.35">
      <c r="A54" s="4" t="s">
        <v>39</v>
      </c>
      <c r="B54" s="2">
        <v>76</v>
      </c>
    </row>
    <row r="55" spans="1:4" x14ac:dyDescent="0.35">
      <c r="A55" s="4" t="s">
        <v>42</v>
      </c>
      <c r="B55" s="2">
        <v>69</v>
      </c>
    </row>
    <row r="56" spans="1:4" x14ac:dyDescent="0.35">
      <c r="A56" s="4" t="s">
        <v>38</v>
      </c>
      <c r="B56" s="2">
        <v>64</v>
      </c>
    </row>
    <row r="57" spans="1:4" x14ac:dyDescent="0.35">
      <c r="A57" s="4" t="s">
        <v>41</v>
      </c>
      <c r="B57" s="2">
        <v>59</v>
      </c>
    </row>
    <row r="58" spans="1:4" x14ac:dyDescent="0.35">
      <c r="A58" s="4" t="s">
        <v>40</v>
      </c>
      <c r="B58" s="2">
        <v>58</v>
      </c>
    </row>
    <row r="59" spans="1:4" x14ac:dyDescent="0.35">
      <c r="A59" s="4" t="s">
        <v>44</v>
      </c>
      <c r="B59" s="2">
        <v>66</v>
      </c>
    </row>
    <row r="60" spans="1:4" x14ac:dyDescent="0.35">
      <c r="A60" s="4" t="s">
        <v>43</v>
      </c>
      <c r="B60" s="2">
        <v>67</v>
      </c>
    </row>
    <row r="61" spans="1:4" x14ac:dyDescent="0.35">
      <c r="A61" s="4" t="s">
        <v>45</v>
      </c>
      <c r="B61" s="2">
        <v>54</v>
      </c>
    </row>
    <row r="69" spans="1:3" x14ac:dyDescent="0.35">
      <c r="A69" s="1" t="s">
        <v>3</v>
      </c>
      <c r="B69" t="s">
        <v>64</v>
      </c>
      <c r="C69" t="s">
        <v>65</v>
      </c>
    </row>
    <row r="70" spans="1:3" x14ac:dyDescent="0.35">
      <c r="A70" s="4" t="s">
        <v>55</v>
      </c>
      <c r="B70" s="10">
        <v>316</v>
      </c>
      <c r="C70" s="10">
        <v>316</v>
      </c>
    </row>
    <row r="71" spans="1:3" x14ac:dyDescent="0.35">
      <c r="A71" s="4" t="s">
        <v>56</v>
      </c>
      <c r="B71" s="10">
        <v>197</v>
      </c>
      <c r="C71" s="10">
        <v>197</v>
      </c>
    </row>
    <row r="75" spans="1:3" x14ac:dyDescent="0.35">
      <c r="A75" s="7"/>
      <c r="B75" s="7"/>
    </row>
    <row r="76" spans="1:3" x14ac:dyDescent="0.35">
      <c r="A76" s="4"/>
      <c r="B76" s="10"/>
    </row>
    <row r="86" spans="1:2" x14ac:dyDescent="0.35">
      <c r="A86" s="1" t="s">
        <v>3</v>
      </c>
      <c r="B86" t="s">
        <v>67</v>
      </c>
    </row>
    <row r="87" spans="1:2" x14ac:dyDescent="0.35">
      <c r="A87" s="4" t="s">
        <v>57</v>
      </c>
      <c r="B87" s="10">
        <v>239</v>
      </c>
    </row>
    <row r="88" spans="1:2" x14ac:dyDescent="0.35">
      <c r="A88" s="4" t="s">
        <v>53</v>
      </c>
      <c r="B88" s="10">
        <v>274</v>
      </c>
    </row>
    <row r="90" spans="1:2" x14ac:dyDescent="0.35">
      <c r="A90" s="4"/>
      <c r="B90" s="10"/>
    </row>
    <row r="91" spans="1:2" x14ac:dyDescent="0.35">
      <c r="A91" s="4"/>
      <c r="B91" s="10"/>
    </row>
    <row r="96" spans="1:2" x14ac:dyDescent="0.35">
      <c r="A96" s="1" t="s">
        <v>3</v>
      </c>
      <c r="B96" t="s">
        <v>68</v>
      </c>
    </row>
    <row r="97" spans="1:2" x14ac:dyDescent="0.35">
      <c r="A97" s="4" t="s">
        <v>62</v>
      </c>
      <c r="B97" s="10">
        <v>4</v>
      </c>
    </row>
    <row r="98" spans="1:2" x14ac:dyDescent="0.35">
      <c r="A98" s="4" t="s">
        <v>60</v>
      </c>
      <c r="B98" s="10">
        <v>5</v>
      </c>
    </row>
    <row r="99" spans="1:2" x14ac:dyDescent="0.35">
      <c r="A99" s="4" t="s">
        <v>66</v>
      </c>
      <c r="B99" s="10">
        <v>9</v>
      </c>
    </row>
    <row r="100" spans="1:2" x14ac:dyDescent="0.35">
      <c r="A100" s="4" t="s">
        <v>61</v>
      </c>
      <c r="B100" s="10">
        <v>14</v>
      </c>
    </row>
    <row r="101" spans="1:2" x14ac:dyDescent="0.35">
      <c r="A101" s="4" t="s">
        <v>63</v>
      </c>
      <c r="B101" s="10">
        <v>14</v>
      </c>
    </row>
    <row r="102" spans="1:2" x14ac:dyDescent="0.35">
      <c r="A102" s="4" t="s">
        <v>59</v>
      </c>
      <c r="B102" s="10">
        <v>65</v>
      </c>
    </row>
    <row r="103" spans="1:2" x14ac:dyDescent="0.35">
      <c r="A103" s="4" t="s">
        <v>58</v>
      </c>
      <c r="B103" s="10">
        <v>103</v>
      </c>
    </row>
    <row r="104" spans="1:2" x14ac:dyDescent="0.35">
      <c r="A104" s="4" t="s">
        <v>54</v>
      </c>
      <c r="B104" s="10">
        <v>299</v>
      </c>
    </row>
    <row r="114" spans="1:1" x14ac:dyDescent="0.35">
      <c r="A114" s="1" t="s">
        <v>3</v>
      </c>
    </row>
    <row r="115" spans="1:1" x14ac:dyDescent="0.35">
      <c r="A115" s="15">
        <v>45292</v>
      </c>
    </row>
    <row r="116" spans="1:1" x14ac:dyDescent="0.35">
      <c r="A116" s="5" t="s">
        <v>5</v>
      </c>
    </row>
    <row r="117" spans="1:1" x14ac:dyDescent="0.35">
      <c r="A117" s="16">
        <v>2024</v>
      </c>
    </row>
    <row r="118" spans="1:1" x14ac:dyDescent="0.35">
      <c r="A118" s="15">
        <v>45293</v>
      </c>
    </row>
    <row r="119" spans="1:1" x14ac:dyDescent="0.35">
      <c r="A119" s="5" t="s">
        <v>5</v>
      </c>
    </row>
    <row r="120" spans="1:1" x14ac:dyDescent="0.35">
      <c r="A120" s="16">
        <v>2024</v>
      </c>
    </row>
    <row r="121" spans="1:1" x14ac:dyDescent="0.35">
      <c r="A121" s="15">
        <v>45294</v>
      </c>
    </row>
    <row r="122" spans="1:1" x14ac:dyDescent="0.35">
      <c r="A122" s="5" t="s">
        <v>5</v>
      </c>
    </row>
    <row r="123" spans="1:1" x14ac:dyDescent="0.35">
      <c r="A123" s="16">
        <v>2024</v>
      </c>
    </row>
    <row r="124" spans="1:1" x14ac:dyDescent="0.35">
      <c r="A124" s="15">
        <v>45295</v>
      </c>
    </row>
    <row r="125" spans="1:1" x14ac:dyDescent="0.35">
      <c r="A125" s="5" t="s">
        <v>5</v>
      </c>
    </row>
    <row r="126" spans="1:1" x14ac:dyDescent="0.35">
      <c r="A126" s="16">
        <v>2024</v>
      </c>
    </row>
    <row r="127" spans="1:1" x14ac:dyDescent="0.35">
      <c r="A127" s="15">
        <v>45296</v>
      </c>
    </row>
    <row r="128" spans="1:1" x14ac:dyDescent="0.35">
      <c r="A128" s="5" t="s">
        <v>5</v>
      </c>
    </row>
    <row r="129" spans="1:1" x14ac:dyDescent="0.35">
      <c r="A129" s="16">
        <v>2024</v>
      </c>
    </row>
    <row r="130" spans="1:1" x14ac:dyDescent="0.35">
      <c r="A130" s="15">
        <v>45297</v>
      </c>
    </row>
    <row r="131" spans="1:1" x14ac:dyDescent="0.35">
      <c r="A131" s="5" t="s">
        <v>5</v>
      </c>
    </row>
    <row r="132" spans="1:1" x14ac:dyDescent="0.35">
      <c r="A132" s="16">
        <v>2024</v>
      </c>
    </row>
    <row r="133" spans="1:1" x14ac:dyDescent="0.35">
      <c r="A133" s="15">
        <v>45298</v>
      </c>
    </row>
    <row r="134" spans="1:1" x14ac:dyDescent="0.35">
      <c r="A134" s="5" t="s">
        <v>5</v>
      </c>
    </row>
    <row r="135" spans="1:1" x14ac:dyDescent="0.35">
      <c r="A135" s="16">
        <v>2024</v>
      </c>
    </row>
    <row r="136" spans="1:1" x14ac:dyDescent="0.35">
      <c r="A136" s="15">
        <v>45299</v>
      </c>
    </row>
    <row r="137" spans="1:1" x14ac:dyDescent="0.35">
      <c r="A137" s="5" t="s">
        <v>5</v>
      </c>
    </row>
    <row r="138" spans="1:1" x14ac:dyDescent="0.35">
      <c r="A138" s="16">
        <v>2024</v>
      </c>
    </row>
    <row r="139" spans="1:1" x14ac:dyDescent="0.35">
      <c r="A139" s="15">
        <v>45300</v>
      </c>
    </row>
    <row r="140" spans="1:1" x14ac:dyDescent="0.35">
      <c r="A140" s="5" t="s">
        <v>5</v>
      </c>
    </row>
    <row r="141" spans="1:1" x14ac:dyDescent="0.35">
      <c r="A141" s="16">
        <v>2024</v>
      </c>
    </row>
    <row r="142" spans="1:1" x14ac:dyDescent="0.35">
      <c r="A142" s="15">
        <v>45301</v>
      </c>
    </row>
    <row r="143" spans="1:1" x14ac:dyDescent="0.35">
      <c r="A143" s="5" t="s">
        <v>5</v>
      </c>
    </row>
    <row r="144" spans="1:1" x14ac:dyDescent="0.35">
      <c r="A144" s="16">
        <v>2024</v>
      </c>
    </row>
    <row r="145" spans="1:1" x14ac:dyDescent="0.35">
      <c r="A145" s="15">
        <v>45302</v>
      </c>
    </row>
    <row r="146" spans="1:1" x14ac:dyDescent="0.35">
      <c r="A146" s="5" t="s">
        <v>5</v>
      </c>
    </row>
    <row r="147" spans="1:1" x14ac:dyDescent="0.35">
      <c r="A147" s="16">
        <v>2024</v>
      </c>
    </row>
    <row r="148" spans="1:1" x14ac:dyDescent="0.35">
      <c r="A148" s="15">
        <v>45303</v>
      </c>
    </row>
    <row r="149" spans="1:1" x14ac:dyDescent="0.35">
      <c r="A149" s="5" t="s">
        <v>5</v>
      </c>
    </row>
    <row r="150" spans="1:1" x14ac:dyDescent="0.35">
      <c r="A150" s="16">
        <v>2024</v>
      </c>
    </row>
    <row r="151" spans="1:1" x14ac:dyDescent="0.35">
      <c r="A151" s="15">
        <v>45304</v>
      </c>
    </row>
    <row r="152" spans="1:1" x14ac:dyDescent="0.35">
      <c r="A152" s="5" t="s">
        <v>5</v>
      </c>
    </row>
    <row r="153" spans="1:1" x14ac:dyDescent="0.35">
      <c r="A153" s="16">
        <v>2024</v>
      </c>
    </row>
    <row r="154" spans="1:1" x14ac:dyDescent="0.35">
      <c r="A154" s="15">
        <v>45305</v>
      </c>
    </row>
    <row r="155" spans="1:1" x14ac:dyDescent="0.35">
      <c r="A155" s="5" t="s">
        <v>5</v>
      </c>
    </row>
    <row r="156" spans="1:1" x14ac:dyDescent="0.35">
      <c r="A156" s="16">
        <v>2024</v>
      </c>
    </row>
    <row r="157" spans="1:1" x14ac:dyDescent="0.35">
      <c r="A157" s="15">
        <v>45306</v>
      </c>
    </row>
    <row r="158" spans="1:1" x14ac:dyDescent="0.35">
      <c r="A158" s="5" t="s">
        <v>5</v>
      </c>
    </row>
    <row r="159" spans="1:1" x14ac:dyDescent="0.35">
      <c r="A159" s="16">
        <v>2024</v>
      </c>
    </row>
    <row r="160" spans="1:1" x14ac:dyDescent="0.35">
      <c r="A160" s="15">
        <v>45307</v>
      </c>
    </row>
    <row r="161" spans="1:1" x14ac:dyDescent="0.35">
      <c r="A161" s="5" t="s">
        <v>5</v>
      </c>
    </row>
    <row r="162" spans="1:1" x14ac:dyDescent="0.35">
      <c r="A162" s="16">
        <v>2024</v>
      </c>
    </row>
    <row r="163" spans="1:1" x14ac:dyDescent="0.35">
      <c r="A163" s="15">
        <v>45308</v>
      </c>
    </row>
    <row r="164" spans="1:1" x14ac:dyDescent="0.35">
      <c r="A164" s="5" t="s">
        <v>5</v>
      </c>
    </row>
    <row r="165" spans="1:1" x14ac:dyDescent="0.35">
      <c r="A165" s="16">
        <v>2024</v>
      </c>
    </row>
    <row r="166" spans="1:1" x14ac:dyDescent="0.35">
      <c r="A166" s="15">
        <v>45309</v>
      </c>
    </row>
    <row r="167" spans="1:1" x14ac:dyDescent="0.35">
      <c r="A167" s="5" t="s">
        <v>5</v>
      </c>
    </row>
    <row r="168" spans="1:1" x14ac:dyDescent="0.35">
      <c r="A168" s="16">
        <v>2024</v>
      </c>
    </row>
    <row r="169" spans="1:1" x14ac:dyDescent="0.35">
      <c r="A169" s="15">
        <v>45310</v>
      </c>
    </row>
    <row r="170" spans="1:1" x14ac:dyDescent="0.35">
      <c r="A170" s="5" t="s">
        <v>5</v>
      </c>
    </row>
    <row r="171" spans="1:1" x14ac:dyDescent="0.35">
      <c r="A171" s="16">
        <v>2024</v>
      </c>
    </row>
    <row r="172" spans="1:1" x14ac:dyDescent="0.35">
      <c r="A172" s="15">
        <v>45311</v>
      </c>
    </row>
    <row r="173" spans="1:1" x14ac:dyDescent="0.35">
      <c r="A173" s="5" t="s">
        <v>5</v>
      </c>
    </row>
    <row r="174" spans="1:1" x14ac:dyDescent="0.35">
      <c r="A174" s="16">
        <v>2024</v>
      </c>
    </row>
    <row r="175" spans="1:1" x14ac:dyDescent="0.35">
      <c r="A175" s="15">
        <v>45312</v>
      </c>
    </row>
    <row r="176" spans="1:1" x14ac:dyDescent="0.35">
      <c r="A176" s="5" t="s">
        <v>5</v>
      </c>
    </row>
    <row r="177" spans="1:1" x14ac:dyDescent="0.35">
      <c r="A177" s="16">
        <v>2024</v>
      </c>
    </row>
    <row r="178" spans="1:1" x14ac:dyDescent="0.35">
      <c r="A178" s="15">
        <v>45313</v>
      </c>
    </row>
    <row r="179" spans="1:1" x14ac:dyDescent="0.35">
      <c r="A179" s="5" t="s">
        <v>5</v>
      </c>
    </row>
    <row r="180" spans="1:1" x14ac:dyDescent="0.35">
      <c r="A180" s="16">
        <v>2024</v>
      </c>
    </row>
    <row r="181" spans="1:1" x14ac:dyDescent="0.35">
      <c r="A181" s="15">
        <v>45314</v>
      </c>
    </row>
    <row r="182" spans="1:1" x14ac:dyDescent="0.35">
      <c r="A182" s="5" t="s">
        <v>5</v>
      </c>
    </row>
    <row r="183" spans="1:1" x14ac:dyDescent="0.35">
      <c r="A183" s="16">
        <v>2024</v>
      </c>
    </row>
    <row r="184" spans="1:1" x14ac:dyDescent="0.35">
      <c r="A184" s="15">
        <v>45315</v>
      </c>
    </row>
    <row r="185" spans="1:1" x14ac:dyDescent="0.35">
      <c r="A185" s="5" t="s">
        <v>5</v>
      </c>
    </row>
    <row r="186" spans="1:1" x14ac:dyDescent="0.35">
      <c r="A186" s="16">
        <v>2024</v>
      </c>
    </row>
    <row r="187" spans="1:1" x14ac:dyDescent="0.35">
      <c r="A187" s="15">
        <v>45316</v>
      </c>
    </row>
    <row r="188" spans="1:1" x14ac:dyDescent="0.35">
      <c r="A188" s="5" t="s">
        <v>5</v>
      </c>
    </row>
    <row r="189" spans="1:1" x14ac:dyDescent="0.35">
      <c r="A189" s="16">
        <v>2024</v>
      </c>
    </row>
    <row r="190" spans="1:1" x14ac:dyDescent="0.35">
      <c r="A190" s="15">
        <v>45317</v>
      </c>
    </row>
    <row r="191" spans="1:1" x14ac:dyDescent="0.35">
      <c r="A191" s="5" t="s">
        <v>5</v>
      </c>
    </row>
    <row r="192" spans="1:1" x14ac:dyDescent="0.35">
      <c r="A192" s="16">
        <v>2024</v>
      </c>
    </row>
    <row r="193" spans="1:1" x14ac:dyDescent="0.35">
      <c r="A193" s="15">
        <v>45318</v>
      </c>
    </row>
    <row r="194" spans="1:1" x14ac:dyDescent="0.35">
      <c r="A194" s="5" t="s">
        <v>5</v>
      </c>
    </row>
    <row r="195" spans="1:1" x14ac:dyDescent="0.35">
      <c r="A195" s="16">
        <v>2024</v>
      </c>
    </row>
    <row r="196" spans="1:1" x14ac:dyDescent="0.35">
      <c r="A196" s="15">
        <v>45319</v>
      </c>
    </row>
    <row r="197" spans="1:1" x14ac:dyDescent="0.35">
      <c r="A197" s="5" t="s">
        <v>5</v>
      </c>
    </row>
    <row r="198" spans="1:1" x14ac:dyDescent="0.35">
      <c r="A198" s="16">
        <v>2024</v>
      </c>
    </row>
    <row r="199" spans="1:1" x14ac:dyDescent="0.35">
      <c r="A199" s="15">
        <v>45320</v>
      </c>
    </row>
    <row r="200" spans="1:1" x14ac:dyDescent="0.35">
      <c r="A200" s="5" t="s">
        <v>5</v>
      </c>
    </row>
    <row r="201" spans="1:1" x14ac:dyDescent="0.35">
      <c r="A201" s="16">
        <v>2024</v>
      </c>
    </row>
    <row r="202" spans="1:1" x14ac:dyDescent="0.35">
      <c r="A202" s="15">
        <v>45321</v>
      </c>
    </row>
    <row r="203" spans="1:1" x14ac:dyDescent="0.35">
      <c r="A203" s="5" t="s">
        <v>5</v>
      </c>
    </row>
    <row r="204" spans="1:1" x14ac:dyDescent="0.35">
      <c r="A204" s="16">
        <v>2024</v>
      </c>
    </row>
    <row r="205" spans="1:1" x14ac:dyDescent="0.35">
      <c r="A205" s="15">
        <v>45322</v>
      </c>
    </row>
    <row r="206" spans="1:1" x14ac:dyDescent="0.35">
      <c r="A206" s="5" t="s">
        <v>5</v>
      </c>
    </row>
    <row r="207" spans="1:1" x14ac:dyDescent="0.35">
      <c r="A207" s="16">
        <v>2024</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B23B8-A4B3-4C50-8873-7599B591A9CB}">
  <dimension ref="A1"/>
  <sheetViews>
    <sheetView workbookViewId="0"/>
  </sheetViews>
  <sheetFormatPr defaultRowHeight="14.5" x14ac:dyDescent="0.35"/>
  <cols>
    <col min="1" max="16384" width="8.7265625" style="9"/>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0B200-B9C1-4509-8DF7-037FCFB18208}">
  <dimension ref="A1"/>
  <sheetViews>
    <sheetView workbookViewId="0"/>
  </sheetViews>
  <sheetFormatPr defaultRowHeight="14.5" x14ac:dyDescent="0.35"/>
  <cols>
    <col min="1" max="16384" width="8.7265625" style="6"/>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654B3-7B96-4936-AFB0-E6D5E3E9A166}">
  <dimension ref="A1"/>
  <sheetViews>
    <sheetView workbookViewId="0"/>
  </sheetViews>
  <sheetFormatPr defaultRowHeight="14.5" x14ac:dyDescent="0.35"/>
  <cols>
    <col min="1" max="16384" width="8.7265625" style="8"/>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29763C01-BBCB-4FF6-9586-4D8914B55B7C}">
  <ds:schemaRefs/>
</ds:datastoreItem>
</file>

<file path=customXml/itemProps2.xml><?xml version="1.0" encoding="utf-8"?>
<ds:datastoreItem xmlns:ds="http://schemas.openxmlformats.org/officeDocument/2006/customXml" ds:itemID="{898BF2D7-D583-4F47-9009-37EB21CA0F8A}">
  <ds:schemaRefs/>
</ds:datastoreItem>
</file>

<file path=customXml/itemProps3.xml><?xml version="1.0" encoding="utf-8"?>
<ds:datastoreItem xmlns:ds="http://schemas.openxmlformats.org/officeDocument/2006/customXml" ds:itemID="{C23486B0-E043-416E-A366-C34BD24DCAE7}">
  <ds:schemaRefs/>
</ds:datastoreItem>
</file>

<file path=customXml/itemProps4.xml><?xml version="1.0" encoding="utf-8"?>
<ds:datastoreItem xmlns:ds="http://schemas.openxmlformats.org/officeDocument/2006/customXml" ds:itemID="{10A48798-E74F-48D3-997C-7A39080794CA}">
  <ds:schemaRefs/>
</ds:datastoreItem>
</file>

<file path=customXml/itemProps5.xml><?xml version="1.0" encoding="utf-8"?>
<ds:datastoreItem xmlns:ds="http://schemas.openxmlformats.org/officeDocument/2006/customXml" ds:itemID="{054DB8FE-F1C7-46AA-A6EC-E30A85BE5DE7}">
  <ds:schemaRefs/>
</ds:datastoreItem>
</file>

<file path=customXml/itemProps6.xml><?xml version="1.0" encoding="utf-8"?>
<ds:datastoreItem xmlns:ds="http://schemas.openxmlformats.org/officeDocument/2006/customXml" ds:itemID="{CB4D9B07-A792-436B-918F-4089A24103F2}">
  <ds:schemaRefs/>
</ds:datastoreItem>
</file>

<file path=customXml/itemProps7.xml><?xml version="1.0" encoding="utf-8"?>
<ds:datastoreItem xmlns:ds="http://schemas.openxmlformats.org/officeDocument/2006/customXml" ds:itemID="{92900B14-072F-44E7-8353-C68E3BB2370E}">
  <ds:schemaRefs/>
</ds:datastoreItem>
</file>

<file path=customXml/itemProps8.xml><?xml version="1.0" encoding="utf-8"?>
<ds:datastoreItem xmlns:ds="http://schemas.openxmlformats.org/officeDocument/2006/customXml" ds:itemID="{00AC815D-A124-4050-9CF4-88BB3C8C2B0D}">
  <ds:schemaRefs/>
</ds:datastoreItem>
</file>

<file path=customXml/itemProps9.xml><?xml version="1.0" encoding="utf-8"?>
<ds:datastoreItem xmlns:ds="http://schemas.openxmlformats.org/officeDocument/2006/customXml" ds:itemID="{7375AD74-4757-4EC8-8BD0-96624D911A50}">
  <ds:schemaRefs/>
</ds:datastoreItem>
</file>

<file path=customXml/itemProps10.xml><?xml version="1.0" encoding="utf-8"?>
<ds:datastoreItem xmlns:ds="http://schemas.openxmlformats.org/officeDocument/2006/customXml" ds:itemID="{3EF0C42E-CA3C-42C7-AAE0-1406003ADF43}">
  <ds:schemaRefs/>
</ds:datastoreItem>
</file>

<file path=customXml/itemProps11.xml><?xml version="1.0" encoding="utf-8"?>
<ds:datastoreItem xmlns:ds="http://schemas.openxmlformats.org/officeDocument/2006/customXml" ds:itemID="{62CF3A39-BC01-4A9A-8953-FD6EE4532163}">
  <ds:schemaRefs/>
</ds:datastoreItem>
</file>

<file path=customXml/itemProps12.xml><?xml version="1.0" encoding="utf-8"?>
<ds:datastoreItem xmlns:ds="http://schemas.openxmlformats.org/officeDocument/2006/customXml" ds:itemID="{7AF5B4CE-4232-4CE4-83BD-C76B0E4E6E5D}">
  <ds:schemaRefs/>
</ds:datastoreItem>
</file>

<file path=customXml/itemProps13.xml><?xml version="1.0" encoding="utf-8"?>
<ds:datastoreItem xmlns:ds="http://schemas.openxmlformats.org/officeDocument/2006/customXml" ds:itemID="{FCEDD7C1-E18B-4BBC-BDCE-7A0109C9B720}">
  <ds:schemaRefs/>
</ds:datastoreItem>
</file>

<file path=customXml/itemProps14.xml><?xml version="1.0" encoding="utf-8"?>
<ds:datastoreItem xmlns:ds="http://schemas.openxmlformats.org/officeDocument/2006/customXml" ds:itemID="{3B588239-A2E2-4D14-AB4E-044276C4F27D}">
  <ds:schemaRefs/>
</ds:datastoreItem>
</file>

<file path=customXml/itemProps15.xml><?xml version="1.0" encoding="utf-8"?>
<ds:datastoreItem xmlns:ds="http://schemas.openxmlformats.org/officeDocument/2006/customXml" ds:itemID="{B4A5D5FA-0272-4BCE-B0EC-61ED3FD26ADD}">
  <ds:schemaRefs/>
</ds:datastoreItem>
</file>

<file path=customXml/itemProps16.xml><?xml version="1.0" encoding="utf-8"?>
<ds:datastoreItem xmlns:ds="http://schemas.openxmlformats.org/officeDocument/2006/customXml" ds:itemID="{8816E97F-7BE0-4FA7-9309-7C882330A26F}">
  <ds:schemaRefs/>
</ds:datastoreItem>
</file>

<file path=customXml/itemProps17.xml><?xml version="1.0" encoding="utf-8"?>
<ds:datastoreItem xmlns:ds="http://schemas.openxmlformats.org/officeDocument/2006/customXml" ds:itemID="{CB1DCBCC-7CAD-4E0A-86C5-345DF0FBE28F}">
  <ds:schemaRefs/>
</ds:datastoreItem>
</file>

<file path=customXml/itemProps18.xml><?xml version="1.0" encoding="utf-8"?>
<ds:datastoreItem xmlns:ds="http://schemas.openxmlformats.org/officeDocument/2006/customXml" ds:itemID="{D75A3B7E-1E8A-400D-A4DE-EB9EAC2C73A9}">
  <ds:schemaRefs/>
</ds:datastoreItem>
</file>

<file path=customXml/itemProps19.xml><?xml version="1.0" encoding="utf-8"?>
<ds:datastoreItem xmlns:ds="http://schemas.openxmlformats.org/officeDocument/2006/customXml" ds:itemID="{2A396700-115F-4390-A846-8BD8FBC94843}">
  <ds:schemaRefs/>
</ds:datastoreItem>
</file>

<file path=customXml/itemProps20.xml><?xml version="1.0" encoding="utf-8"?>
<ds:datastoreItem xmlns:ds="http://schemas.openxmlformats.org/officeDocument/2006/customXml" ds:itemID="{68ABA5B1-000C-47E0-8CAB-6FC3B2B35976}">
  <ds:schemaRefs/>
</ds:datastoreItem>
</file>

<file path=customXml/itemProps21.xml><?xml version="1.0" encoding="utf-8"?>
<ds:datastoreItem xmlns:ds="http://schemas.openxmlformats.org/officeDocument/2006/customXml" ds:itemID="{0F506AE7-D8F5-4D79-B8B9-837A1309C7FF}">
  <ds:schemaRefs/>
</ds:datastoreItem>
</file>

<file path=customXml/itemProps22.xml><?xml version="1.0" encoding="utf-8"?>
<ds:datastoreItem xmlns:ds="http://schemas.openxmlformats.org/officeDocument/2006/customXml" ds:itemID="{B090366D-D029-439E-A1F0-177E3107DE2E}">
  <ds:schemaRefs/>
</ds:datastoreItem>
</file>

<file path=customXml/itemProps23.xml><?xml version="1.0" encoding="utf-8"?>
<ds:datastoreItem xmlns:ds="http://schemas.openxmlformats.org/officeDocument/2006/customXml" ds:itemID="{38B8E538-BD83-4AB9-833B-025C9BDACB69}">
  <ds:schemaRefs/>
</ds:datastoreItem>
</file>

<file path=customXml/itemProps24.xml><?xml version="1.0" encoding="utf-8"?>
<ds:datastoreItem xmlns:ds="http://schemas.openxmlformats.org/officeDocument/2006/customXml" ds:itemID="{D1F08431-8D8F-4162-8806-0098B598DDCC}">
  <ds:schemaRefs/>
</ds:datastoreItem>
</file>

<file path=customXml/itemProps25.xml><?xml version="1.0" encoding="utf-8"?>
<ds:datastoreItem xmlns:ds="http://schemas.openxmlformats.org/officeDocument/2006/customXml" ds:itemID="{62869662-A4CF-4F15-874E-0047DE20CFB8}">
  <ds:schemaRefs/>
</ds:datastoreItem>
</file>

<file path=customXml/itemProps26.xml><?xml version="1.0" encoding="utf-8"?>
<ds:datastoreItem xmlns:ds="http://schemas.openxmlformats.org/officeDocument/2006/customXml" ds:itemID="{159945AE-B98F-45F3-AC68-8949194AB301}">
  <ds:schemaRefs/>
</ds:datastoreItem>
</file>

<file path=customXml/itemProps27.xml><?xml version="1.0" encoding="utf-8"?>
<ds:datastoreItem xmlns:ds="http://schemas.openxmlformats.org/officeDocument/2006/customXml" ds:itemID="{0406BC6C-C57F-47E7-89DE-6BB88F392A9B}">
  <ds:schemaRefs/>
</ds:datastoreItem>
</file>

<file path=customXml/itemProps28.xml><?xml version="1.0" encoding="utf-8"?>
<ds:datastoreItem xmlns:ds="http://schemas.openxmlformats.org/officeDocument/2006/customXml" ds:itemID="{0E7B4C24-B6E2-4149-859C-9F93EEC4229C}">
  <ds:schemaRefs/>
</ds:datastoreItem>
</file>

<file path=customXml/itemProps29.xml><?xml version="1.0" encoding="utf-8"?>
<ds:datastoreItem xmlns:ds="http://schemas.openxmlformats.org/officeDocument/2006/customXml" ds:itemID="{11C856D6-0123-44C9-AC1B-60EF3D8B75EC}">
  <ds:schemaRefs/>
</ds:datastoreItem>
</file>

<file path=customXml/itemProps30.xml><?xml version="1.0" encoding="utf-8"?>
<ds:datastoreItem xmlns:ds="http://schemas.openxmlformats.org/officeDocument/2006/customXml" ds:itemID="{5D7CD8AC-0C45-4592-980F-04135650BCBD}">
  <ds:schemaRefs/>
</ds:datastoreItem>
</file>

<file path=customXml/itemProps31.xml><?xml version="1.0" encoding="utf-8"?>
<ds:datastoreItem xmlns:ds="http://schemas.openxmlformats.org/officeDocument/2006/customXml" ds:itemID="{861D4CDE-8CA9-497D-A787-8AD0669C2C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 report</vt:lpstr>
      <vt:lpstr>Satisfaction Score</vt:lpstr>
      <vt:lpstr>Avg WaitTime</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Shadaab</dc:creator>
  <cp:lastModifiedBy>Mohammed Shadaab</cp:lastModifiedBy>
  <dcterms:created xsi:type="dcterms:W3CDTF">2025-10-31T20:02:52Z</dcterms:created>
  <dcterms:modified xsi:type="dcterms:W3CDTF">2025-11-01T20:06:23Z</dcterms:modified>
</cp:coreProperties>
</file>